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6 RZ1 (ACCIDENT)" sheetId="1" state="visible" r:id="rId3"/>
    <sheet name="Hoja1" sheetId="2" state="visible" r:id="rId4"/>
  </sheets>
  <definedNames>
    <definedName function="false" hidden="true" localSheetId="0" name="_xlnm._FilterDatabase" vbProcedure="false">'AZ6 RZ1 (ACCIDENT)'!$B$3:$AJ$92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F3" authorId="0">
      <text>
        <r>
          <rPr>
            <sz val="10"/>
            <rFont val="Arial"/>
            <family val="2"/>
          </rPr>
          <t xml:space="preserve">Fuente: NUBASE2020 (Kondev et al., Chin. Phys. C 45, 030001, 2021). 1 y = 365,2422 d.</t>
        </r>
      </text>
    </comment>
  </commentList>
</comments>
</file>

<file path=xl/sharedStrings.xml><?xml version="1.0" encoding="utf-8"?>
<sst xmlns="http://schemas.openxmlformats.org/spreadsheetml/2006/main" count="593" uniqueCount="350">
  <si>
    <t xml:space="preserve">Sección transversal efectiva (σ) en barns</t>
  </si>
  <si>
    <t xml:space="preserve">Incremental Failure - Accident</t>
  </si>
  <si>
    <t xml:space="preserve">Heavy Metal Accident Release</t>
  </si>
  <si>
    <t xml:space="preserve">Fuel Particle Kernel [Non-Intact Accident Release]</t>
  </si>
  <si>
    <t xml:space="preserve">Diffusive Release through Fuel Particle Coatings [Intact Accident Release]</t>
  </si>
  <si>
    <t xml:space="preserve">Graphite (Compact Matrix and Fuel Element)</t>
  </si>
  <si>
    <t xml:space="preserve">FLIBE</t>
  </si>
  <si>
    <t xml:space="preserve">Reactor Building</t>
  </si>
  <si>
    <t xml:space="preserve">Termino fuente mecanicista (S) (bq)</t>
  </si>
  <si>
    <t xml:space="preserve">AF 50%</t>
  </si>
  <si>
    <t xml:space="preserve">AF 95%</t>
  </si>
  <si>
    <t xml:space="preserve">Isotopo
</t>
  </si>
  <si>
    <t xml:space="preserve">Isotope
[ZZAAA]</t>
  </si>
  <si>
    <t xml:space="preserve">Tipo de isotopo</t>
  </si>
  <si>
    <t xml:space="preserve">Number Density
[atom/b/cm]</t>
  </si>
  <si>
    <t xml:space="preserve">Vida Media (Laraweb) — sustituida por NUBASE2020</t>
  </si>
  <si>
    <t xml:space="preserve">Vida Media (copilot) — sustituida por NUBASE2020</t>
  </si>
  <si>
    <t xml:space="preserve">Vida Media (chatGPT) — sustituida por NUBASE2020</t>
  </si>
  <si>
    <t xml:space="preserve">Vida Media (años)</t>
  </si>
  <si>
    <t xml:space="preserve">Vida Media (dias)</t>
  </si>
  <si>
    <t xml:space="preserve">Vida Media (horas)</t>
  </si>
  <si>
    <t xml:space="preserve">Vida Media (minutos)</t>
  </si>
  <si>
    <t xml:space="preserve">Sec</t>
  </si>
  <si>
    <t xml:space="preserve">Constante de desintegración (λ)</t>
  </si>
  <si>
    <t xml:space="preserve">Barn (cm2) a cm</t>
  </si>
  <si>
    <t xml:space="preserve">Volumen (cm2)</t>
  </si>
  <si>
    <t xml:space="preserve">Densidad atomica (atom/cm3)</t>
  </si>
  <si>
    <t xml:space="preserve">Nº atomos</t>
  </si>
  <si>
    <t xml:space="preserve">Actividad (bq)</t>
  </si>
  <si>
    <t xml:space="preserve">Actividad (Ci)</t>
  </si>
  <si>
    <t xml:space="preserve">Tipo de isotopos</t>
  </si>
  <si>
    <t xml:space="preserve">AFHMC 50%</t>
  </si>
  <si>
    <t xml:space="preserve">AFHMC 95%</t>
  </si>
  <si>
    <t xml:space="preserve">AFK 50%</t>
  </si>
  <si>
    <t xml:space="preserve">AFK 95%</t>
  </si>
  <si>
    <t xml:space="preserve">AFDiff 50%</t>
  </si>
  <si>
    <t xml:space="preserve">AFDiff 95%</t>
  </si>
  <si>
    <t xml:space="preserve">AFG 50%</t>
  </si>
  <si>
    <t xml:space="preserve">AFG 95%</t>
  </si>
  <si>
    <t xml:space="preserve">AFFLIBE 50%</t>
  </si>
  <si>
    <t xml:space="preserve">AFFLIBE 95%</t>
  </si>
  <si>
    <t xml:space="preserve">AFRB 50%</t>
  </si>
  <si>
    <t xml:space="preserve">AFRB 95%</t>
  </si>
  <si>
    <t xml:space="preserve">Core Activity</t>
  </si>
  <si>
    <t xml:space="preserve">HMC</t>
  </si>
  <si>
    <t xml:space="preserve">Kernel</t>
  </si>
  <si>
    <t xml:space="preserve">Diff</t>
  </si>
  <si>
    <t xml:space="preserve">Graphite</t>
  </si>
  <si>
    <t xml:space="preserve">T½ NUBASE2020</t>
  </si>
  <si>
    <t xml:space="preserve">T½ NUBASE2020 (s)</t>
  </si>
  <si>
    <t xml:space="preserve">Nombre anterior (corregido)</t>
  </si>
  <si>
    <t xml:space="preserve">Grupo químico corregido</t>
  </si>
  <si>
    <t xml:space="preserve">C-12</t>
  </si>
  <si>
    <t xml:space="preserve">Estable</t>
  </si>
  <si>
    <t xml:space="preserve">estable</t>
  </si>
  <si>
    <t xml:space="preserve">O-16</t>
  </si>
  <si>
    <t xml:space="preserve">Kr-83</t>
  </si>
  <si>
    <t xml:space="preserve">Kr-84</t>
  </si>
  <si>
    <t xml:space="preserve">Kr-86</t>
  </si>
  <si>
    <t xml:space="preserve">10.76 años</t>
  </si>
  <si>
    <t xml:space="preserve">Rb-85</t>
  </si>
  <si>
    <t xml:space="preserve">Pd-107</t>
  </si>
  <si>
    <t xml:space="preserve">Ag, Pd</t>
  </si>
  <si>
    <t xml:space="preserve">6.5 × 10^6 años</t>
  </si>
  <si>
    <t xml:space="preserve">6.5 × 10⁶ años</t>
  </si>
  <si>
    <t xml:space="preserve">6.5 My</t>
  </si>
  <si>
    <t xml:space="preserve">Sr-88</t>
  </si>
  <si>
    <t xml:space="preserve">2.9 horas</t>
  </si>
  <si>
    <t xml:space="preserve">Rb-87</t>
  </si>
  <si>
    <t xml:space="preserve">Cs, Rb</t>
  </si>
  <si>
    <t xml:space="preserve">49.650 E9 a</t>
  </si>
  <si>
    <t xml:space="preserve">4.88 × 10^10 años</t>
  </si>
  <si>
    <t xml:space="preserve">1.6 × 10⁹ años</t>
  </si>
  <si>
    <t xml:space="preserve">49.7 Gy</t>
  </si>
  <si>
    <t xml:space="preserve">Cs-135</t>
  </si>
  <si>
    <t xml:space="preserve">2.3 E6 a</t>
  </si>
  <si>
    <t xml:space="preserve">2.3 × 10^6 años</t>
  </si>
  <si>
    <t xml:space="preserve">2.3 × 10⁶ años</t>
  </si>
  <si>
    <t xml:space="preserve">1.33 My</t>
  </si>
  <si>
    <t xml:space="preserve">Y-89</t>
  </si>
  <si>
    <t xml:space="preserve">Cs-137</t>
  </si>
  <si>
    <t xml:space="preserve">30.018 a</t>
  </si>
  <si>
    <t xml:space="preserve">30.17 años</t>
  </si>
  <si>
    <t xml:space="preserve">30.04 y</t>
  </si>
  <si>
    <t xml:space="preserve">Zr-91</t>
  </si>
  <si>
    <t xml:space="preserve">Zr-92</t>
  </si>
  <si>
    <t xml:space="preserve">Xe-133</t>
  </si>
  <si>
    <t xml:space="preserve">Gases nobles</t>
  </si>
  <si>
    <t xml:space="preserve">5.2441 d</t>
  </si>
  <si>
    <t xml:space="preserve">5.243 días</t>
  </si>
  <si>
    <t xml:space="preserve">5.25 días</t>
  </si>
  <si>
    <t xml:space="preserve">5.2474 d</t>
  </si>
  <si>
    <t xml:space="preserve">Zr-94</t>
  </si>
  <si>
    <t xml:space="preserve">Xe-135</t>
  </si>
  <si>
    <t xml:space="preserve">9.14 h</t>
  </si>
  <si>
    <t xml:space="preserve">9.14 horas</t>
  </si>
  <si>
    <t xml:space="preserve">Zr-96</t>
  </si>
  <si>
    <t xml:space="preserve">23.4 Ey (estable a efectos prácticos)</t>
  </si>
  <si>
    <t xml:space="preserve">I-129</t>
  </si>
  <si>
    <t xml:space="preserve">I, Br, Se, Te</t>
  </si>
  <si>
    <t xml:space="preserve">16.1 E6 a</t>
  </si>
  <si>
    <t xml:space="preserve">1.57 × 10^7 años</t>
  </si>
  <si>
    <t xml:space="preserve">1.57 × 10⁷ años</t>
  </si>
  <si>
    <t xml:space="preserve">16.14 My</t>
  </si>
  <si>
    <t xml:space="preserve">Mo-95</t>
  </si>
  <si>
    <t xml:space="preserve">Mo-97</t>
  </si>
  <si>
    <t xml:space="preserve">Mo-98</t>
  </si>
  <si>
    <t xml:space="preserve">Mo-100</t>
  </si>
  <si>
    <t xml:space="preserve">7.07 Ey (estable a efectos prácticos)</t>
  </si>
  <si>
    <t xml:space="preserve">Tc-99</t>
  </si>
  <si>
    <t xml:space="preserve">Mo, Ru, Rh, Tc</t>
  </si>
  <si>
    <t xml:space="preserve">211.5 E3 a</t>
  </si>
  <si>
    <t xml:space="preserve">2.11 × 10^5 años</t>
  </si>
  <si>
    <t xml:space="preserve">2.13 × 10⁵ años</t>
  </si>
  <si>
    <t xml:space="preserve">211.1 ky</t>
  </si>
  <si>
    <t xml:space="preserve">Ru-100</t>
  </si>
  <si>
    <t xml:space="preserve">Ru-101</t>
  </si>
  <si>
    <t xml:space="preserve">Ru-102</t>
  </si>
  <si>
    <t xml:space="preserve">Ru-103</t>
  </si>
  <si>
    <t xml:space="preserve">39.255 d</t>
  </si>
  <si>
    <t xml:space="preserve">39.26 días</t>
  </si>
  <si>
    <t xml:space="preserve">39.245 d</t>
  </si>
  <si>
    <t xml:space="preserve">Ru-104</t>
  </si>
  <si>
    <t xml:space="preserve">Ru-106</t>
  </si>
  <si>
    <t xml:space="preserve">371.5 d </t>
  </si>
  <si>
    <t xml:space="preserve">373.59 días</t>
  </si>
  <si>
    <t xml:space="preserve">373.6 días</t>
  </si>
  <si>
    <t xml:space="preserve">371.8 d</t>
  </si>
  <si>
    <t xml:space="preserve">Rh-103</t>
  </si>
  <si>
    <t xml:space="preserve">Rh-105</t>
  </si>
  <si>
    <t xml:space="preserve">35.36 horas</t>
  </si>
  <si>
    <t xml:space="preserve">35.341 h</t>
  </si>
  <si>
    <t xml:space="preserve">Pd-105</t>
  </si>
  <si>
    <t xml:space="preserve">Pd-106</t>
  </si>
  <si>
    <t xml:space="preserve">U-235</t>
  </si>
  <si>
    <t xml:space="preserve">Pu, Actinidos</t>
  </si>
  <si>
    <t xml:space="preserve">704 E6 a</t>
  </si>
  <si>
    <t xml:space="preserve">7.04 × 10^8 años</t>
  </si>
  <si>
    <t xml:space="preserve">703.8E6 (años)</t>
  </si>
  <si>
    <t xml:space="preserve">704 My</t>
  </si>
  <si>
    <t xml:space="preserve">Pd-108</t>
  </si>
  <si>
    <t xml:space="preserve">Ag-109</t>
  </si>
  <si>
    <t xml:space="preserve">Te-130</t>
  </si>
  <si>
    <t xml:space="preserve">791 Ey (estable a efectos prácticos)</t>
  </si>
  <si>
    <t xml:space="preserve">U-237</t>
  </si>
  <si>
    <t xml:space="preserve">6.749 d</t>
  </si>
  <si>
    <t xml:space="preserve">6.75 días</t>
  </si>
  <si>
    <t xml:space="preserve">98.0 (minutos)</t>
  </si>
  <si>
    <t xml:space="preserve">6.752 d</t>
  </si>
  <si>
    <t xml:space="preserve">Xe-131</t>
  </si>
  <si>
    <t xml:space="preserve">Xe-132</t>
  </si>
  <si>
    <t xml:space="preserve">U-238</t>
  </si>
  <si>
    <t xml:space="preserve">4.468 E9 a</t>
  </si>
  <si>
    <t xml:space="preserve">4.468 × 10^9 años</t>
  </si>
  <si>
    <t xml:space="preserve">4.468E9 (años)</t>
  </si>
  <si>
    <t xml:space="preserve">4.463 Gy</t>
  </si>
  <si>
    <t xml:space="preserve">Xe-134</t>
  </si>
  <si>
    <t xml:space="preserve">Np-237</t>
  </si>
  <si>
    <t xml:space="preserve">2.144 E6 a</t>
  </si>
  <si>
    <t xml:space="preserve">2.144 × 10^6 años</t>
  </si>
  <si>
    <t xml:space="preserve">2.3 (días)</t>
  </si>
  <si>
    <t xml:space="preserve">2.144 My</t>
  </si>
  <si>
    <t xml:space="preserve">Xe-136</t>
  </si>
  <si>
    <t xml:space="preserve">2.18 Zy (estable a efectos prácticos)</t>
  </si>
  <si>
    <t xml:space="preserve">Cs-133</t>
  </si>
  <si>
    <t xml:space="preserve">Cs-134</t>
  </si>
  <si>
    <t xml:space="preserve">2.0644 a</t>
  </si>
  <si>
    <t xml:space="preserve">2.065 años</t>
  </si>
  <si>
    <t xml:space="preserve">2.06 años</t>
  </si>
  <si>
    <t xml:space="preserve">2.0650 y</t>
  </si>
  <si>
    <t xml:space="preserve">grupo «Cs, Rb» asignado (factores copiados de Rb-87)</t>
  </si>
  <si>
    <t xml:space="preserve">Np-239</t>
  </si>
  <si>
    <t xml:space="preserve">2.356 d</t>
  </si>
  <si>
    <t xml:space="preserve">2.356 días</t>
  </si>
  <si>
    <t xml:space="preserve">24.1 (minutos)</t>
  </si>
  <si>
    <t xml:space="preserve">Pu-238</t>
  </si>
  <si>
    <t xml:space="preserve">87.74 a</t>
  </si>
  <si>
    <t xml:space="preserve">87.7 años</t>
  </si>
  <si>
    <t xml:space="preserve">87.7 (años)</t>
  </si>
  <si>
    <t xml:space="preserve">87.7 y</t>
  </si>
  <si>
    <t xml:space="preserve">Pu-239</t>
  </si>
  <si>
    <t xml:space="preserve">24.100 E3 a</t>
  </si>
  <si>
    <t xml:space="preserve">2.41 × 10^4 años</t>
  </si>
  <si>
    <t xml:space="preserve">24,100 (años)</t>
  </si>
  <si>
    <t xml:space="preserve">24.11 ky</t>
  </si>
  <si>
    <t xml:space="preserve">Pu-240</t>
  </si>
  <si>
    <t xml:space="preserve">6.561 E3 a</t>
  </si>
  <si>
    <t xml:space="preserve">6.56 × 10^3 años</t>
  </si>
  <si>
    <t xml:space="preserve">6,560 (años)</t>
  </si>
  <si>
    <t xml:space="preserve">6.561 ky</t>
  </si>
  <si>
    <t xml:space="preserve">La-139</t>
  </si>
  <si>
    <t xml:space="preserve">Pu-241</t>
  </si>
  <si>
    <t xml:space="preserve">14.33 a</t>
  </si>
  <si>
    <t xml:space="preserve">14.325 años</t>
  </si>
  <si>
    <t xml:space="preserve">14.3 (años)</t>
  </si>
  <si>
    <t xml:space="preserve">14.329 y</t>
  </si>
  <si>
    <t xml:space="preserve">Pu-242</t>
  </si>
  <si>
    <t xml:space="preserve">373 E3</t>
  </si>
  <si>
    <t xml:space="preserve">3.75 × 10^5 años</t>
  </si>
  <si>
    <t xml:space="preserve">375,000 (años)</t>
  </si>
  <si>
    <t xml:space="preserve">375 ky</t>
  </si>
  <si>
    <t xml:space="preserve">Am-241</t>
  </si>
  <si>
    <t xml:space="preserve">432.6 </t>
  </si>
  <si>
    <t xml:space="preserve">432.2 años</t>
  </si>
  <si>
    <t xml:space="preserve">14.4 (años)</t>
  </si>
  <si>
    <t xml:space="preserve">432.6 y</t>
  </si>
  <si>
    <t xml:space="preserve">Am-243</t>
  </si>
  <si>
    <t xml:space="preserve">7.367 E3 a</t>
  </si>
  <si>
    <t xml:space="preserve">7.37 × 10^3 años</t>
  </si>
  <si>
    <t xml:space="preserve">5.0 (horas)</t>
  </si>
  <si>
    <t xml:space="preserve">7.350 ky</t>
  </si>
  <si>
    <t xml:space="preserve">Sr-89</t>
  </si>
  <si>
    <t xml:space="preserve">Sr, Ba, Eu</t>
  </si>
  <si>
    <t xml:space="preserve">50.57  d</t>
  </si>
  <si>
    <t xml:space="preserve">50.5 días</t>
  </si>
  <si>
    <t xml:space="preserve">50.57 días</t>
  </si>
  <si>
    <t xml:space="preserve">50.563 d</t>
  </si>
  <si>
    <t xml:space="preserve">Sr-90</t>
  </si>
  <si>
    <t xml:space="preserve">28.80 a </t>
  </si>
  <si>
    <t xml:space="preserve">28.8 años</t>
  </si>
  <si>
    <t xml:space="preserve">28.91 y</t>
  </si>
  <si>
    <t xml:space="preserve">Ba-138</t>
  </si>
  <si>
    <t xml:space="preserve">30.018 años</t>
  </si>
  <si>
    <t xml:space="preserve">Ba-140</t>
  </si>
  <si>
    <t xml:space="preserve">12.753 d</t>
  </si>
  <si>
    <t xml:space="preserve">12.752 días</t>
  </si>
  <si>
    <t xml:space="preserve">12.75 días</t>
  </si>
  <si>
    <t xml:space="preserve">12.7534 d</t>
  </si>
  <si>
    <t xml:space="preserve">Pm-147</t>
  </si>
  <si>
    <t xml:space="preserve">Isot tierras raras</t>
  </si>
  <si>
    <t xml:space="preserve">24.1 días</t>
  </si>
  <si>
    <t xml:space="preserve">1.6 (horas)</t>
  </si>
  <si>
    <t xml:space="preserve">2.6234 y</t>
  </si>
  <si>
    <t xml:space="preserve">Eu-147</t>
  </si>
  <si>
    <t xml:space="preserve">grupo «Sr, Ba, Eu» → «Isot tierras raras» (factores copiados de Nd-143)</t>
  </si>
  <si>
    <t xml:space="preserve">Pm-149</t>
  </si>
  <si>
    <t xml:space="preserve">93.1 días</t>
  </si>
  <si>
    <t xml:space="preserve">2.0 (minutos)</t>
  </si>
  <si>
    <t xml:space="preserve">53.08 h</t>
  </si>
  <si>
    <t xml:space="preserve">Eu-149</t>
  </si>
  <si>
    <t xml:space="preserve">Y-91</t>
  </si>
  <si>
    <t xml:space="preserve">Isot elem trans</t>
  </si>
  <si>
    <t xml:space="preserve">58.51 d</t>
  </si>
  <si>
    <t xml:space="preserve">58.51 días</t>
  </si>
  <si>
    <t xml:space="preserve">58.5 días</t>
  </si>
  <si>
    <t xml:space="preserve">Nd-148</t>
  </si>
  <si>
    <t xml:space="preserve">Zr-93</t>
  </si>
  <si>
    <t xml:space="preserve">1.61 E6 a</t>
  </si>
  <si>
    <t xml:space="preserve">1.53 × 10^6 años</t>
  </si>
  <si>
    <t xml:space="preserve">1.53 × 10⁶ años</t>
  </si>
  <si>
    <t xml:space="preserve">1.61 My</t>
  </si>
  <si>
    <t xml:space="preserve">Zr-95</t>
  </si>
  <si>
    <t xml:space="preserve">64.032 d</t>
  </si>
  <si>
    <t xml:space="preserve">64.02 días</t>
  </si>
  <si>
    <t xml:space="preserve">Nb-95</t>
  </si>
  <si>
    <t xml:space="preserve"> 34.991 d</t>
  </si>
  <si>
    <t xml:space="preserve">34.991 días</t>
  </si>
  <si>
    <t xml:space="preserve">35 días</t>
  </si>
  <si>
    <t xml:space="preserve">34.991 d</t>
  </si>
  <si>
    <t xml:space="preserve">Ce-140</t>
  </si>
  <si>
    <t xml:space="preserve">15.18 minutos</t>
  </si>
  <si>
    <t xml:space="preserve">1.1 (minutos)</t>
  </si>
  <si>
    <t xml:space="preserve">Sm-140</t>
  </si>
  <si>
    <t xml:space="preserve">Ce-141</t>
  </si>
  <si>
    <t xml:space="preserve">10.6 minutos</t>
  </si>
  <si>
    <t xml:space="preserve">9.9 (minutos)</t>
  </si>
  <si>
    <t xml:space="preserve">32.505 d</t>
  </si>
  <si>
    <t xml:space="preserve">Sm-141</t>
  </si>
  <si>
    <t xml:space="preserve">Ce-142</t>
  </si>
  <si>
    <t xml:space="preserve">1.0 (minutos)</t>
  </si>
  <si>
    <t xml:space="preserve">Sm-142</t>
  </si>
  <si>
    <t xml:space="preserve">Ce-144</t>
  </si>
  <si>
    <t xml:space="preserve">364 días</t>
  </si>
  <si>
    <t xml:space="preserve">1.5 (horas)</t>
  </si>
  <si>
    <t xml:space="preserve">284.886 d</t>
  </si>
  <si>
    <t xml:space="preserve">Sm-144</t>
  </si>
  <si>
    <t xml:space="preserve">Pr-141</t>
  </si>
  <si>
    <t xml:space="preserve">20 minutos</t>
  </si>
  <si>
    <t xml:space="preserve">2.6 (minutos)</t>
  </si>
  <si>
    <t xml:space="preserve">Pm-141</t>
  </si>
  <si>
    <t xml:space="preserve">Pr-143</t>
  </si>
  <si>
    <t xml:space="preserve">265 días</t>
  </si>
  <si>
    <t xml:space="preserve">13.57 d</t>
  </si>
  <si>
    <t xml:space="preserve">Pm-143</t>
  </si>
  <si>
    <t xml:space="preserve">Nd-143</t>
  </si>
  <si>
    <t xml:space="preserve">3.7 (minutos)</t>
  </si>
  <si>
    <t xml:space="preserve">Nd-144</t>
  </si>
  <si>
    <t xml:space="preserve">2.29 años</t>
  </si>
  <si>
    <t xml:space="preserve">2.3 (minutos)</t>
  </si>
  <si>
    <t xml:space="preserve">2.29 Py (estable a efectos prácticos)</t>
  </si>
  <si>
    <t xml:space="preserve">Gd-157</t>
  </si>
  <si>
    <t xml:space="preserve">Nd-145</t>
  </si>
  <si>
    <t xml:space="preserve">3.5 (horas)</t>
  </si>
  <si>
    <t xml:space="preserve">U-236</t>
  </si>
  <si>
    <t xml:space="preserve">23.43 E6 a</t>
  </si>
  <si>
    <t xml:space="preserve">2.342 × 10^7 años</t>
  </si>
  <si>
    <t xml:space="preserve">23.4E6 (años)</t>
  </si>
  <si>
    <t xml:space="preserve">23.42 My</t>
  </si>
  <si>
    <t xml:space="preserve">grupo «Pu, Actinidos» asignado (factores copiados de U-235)</t>
  </si>
  <si>
    <t xml:space="preserve">Nd-146</t>
  </si>
  <si>
    <t xml:space="preserve">13.5 (días)</t>
  </si>
  <si>
    <t xml:space="preserve">Nd-147</t>
  </si>
  <si>
    <t xml:space="preserve">10.987 d </t>
  </si>
  <si>
    <t xml:space="preserve">10.98 días</t>
  </si>
  <si>
    <t xml:space="preserve">1.8 (horas)</t>
  </si>
  <si>
    <t xml:space="preserve">10.98 d</t>
  </si>
  <si>
    <t xml:space="preserve">Nd-150</t>
  </si>
  <si>
    <t xml:space="preserve">7.0E18 (años)</t>
  </si>
  <si>
    <t xml:space="preserve">9.3 Ey (estable a efectos prácticos)</t>
  </si>
  <si>
    <t xml:space="preserve">Sm-147</t>
  </si>
  <si>
    <t xml:space="preserve">38.06 h*</t>
  </si>
  <si>
    <t xml:space="preserve">38.06 horas</t>
  </si>
  <si>
    <t xml:space="preserve">38.0 (horas)</t>
  </si>
  <si>
    <t xml:space="preserve">106.6 Gy</t>
  </si>
  <si>
    <t xml:space="preserve">Gd-147</t>
  </si>
  <si>
    <t xml:space="preserve">Sm-149</t>
  </si>
  <si>
    <t xml:space="preserve">9.28 días</t>
  </si>
  <si>
    <t xml:space="preserve">1.7 (horas)</t>
  </si>
  <si>
    <t xml:space="preserve">Gd-149</t>
  </si>
  <si>
    <t xml:space="preserve">Sm-150</t>
  </si>
  <si>
    <t xml:space="preserve">18.5 (horas)</t>
  </si>
  <si>
    <t xml:space="preserve">Gd-150</t>
  </si>
  <si>
    <t xml:space="preserve">Sm-151</t>
  </si>
  <si>
    <t xml:space="preserve">124 días</t>
  </si>
  <si>
    <t xml:space="preserve">94.6 y</t>
  </si>
  <si>
    <t xml:space="preserve">Gd-151</t>
  </si>
  <si>
    <t xml:space="preserve">Sm-152</t>
  </si>
  <si>
    <t xml:space="preserve">4.8 (horas)</t>
  </si>
  <si>
    <t xml:space="preserve">Gd-152</t>
  </si>
  <si>
    <t xml:space="preserve">Eu-153</t>
  </si>
  <si>
    <t xml:space="preserve">6.4 horas</t>
  </si>
  <si>
    <t xml:space="preserve">2.1 (minutos)</t>
  </si>
  <si>
    <t xml:space="preserve">Dy-153</t>
  </si>
  <si>
    <t xml:space="preserve">Eu-154</t>
  </si>
  <si>
    <t xml:space="preserve">3.0 × 10^6 años</t>
  </si>
  <si>
    <t xml:space="preserve">1.8 (minutos)</t>
  </si>
  <si>
    <t xml:space="preserve">8.592 y</t>
  </si>
  <si>
    <t xml:space="preserve">Dy-154</t>
  </si>
  <si>
    <t xml:space="preserve">grupo «Isot tierras raras» → «Sr, Ba, Eu» (factores copiados de Sr-89)</t>
  </si>
  <si>
    <t xml:space="preserve">Eu-155</t>
  </si>
  <si>
    <t xml:space="preserve">9.9 horas</t>
  </si>
  <si>
    <t xml:space="preserve">4.742 y</t>
  </si>
  <si>
    <t xml:space="preserve">Dy-155</t>
  </si>
  <si>
    <t xml:space="preserve">Tipos de productos de fision</t>
  </si>
  <si>
    <t xml:space="preserve">Nucleo</t>
  </si>
  <si>
    <t xml:space="preserve">Radio (cm)</t>
  </si>
  <si>
    <t xml:space="preserve">Altura (cm)</t>
  </si>
  <si>
    <t xml:space="preserve">Sb</t>
  </si>
  <si>
    <t xml:space="preserve">Isótopos de elementos de transición</t>
  </si>
  <si>
    <t xml:space="preserve">Semividas: NUBASE2020 (Kondev et al., Chin. Phys. C 45, 030001, 2021). Solo nucleidos radiactivos, ordenados por actividad en el núcleo.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</si>
</sst>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.00"/>
    <numFmt numFmtId="167" formatCode="0.00E+00"/>
    <numFmt numFmtId="168" formatCode="0.000E+00"/>
    <numFmt numFmtId="169" formatCode="General"/>
    <numFmt numFmtId="170" formatCode="0.00000E+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6"/>
        <bgColor rgb="FF92D050"/>
      </patternFill>
    </fill>
    <fill>
      <patternFill patternType="solid">
        <fgColor rgb="FF548DD4"/>
        <bgColor rgb="FF808080"/>
      </patternFill>
    </fill>
    <fill>
      <patternFill patternType="solid">
        <fgColor theme="4" tint="0.3999"/>
        <bgColor rgb="FF9999FF"/>
      </patternFill>
    </fill>
    <fill>
      <patternFill patternType="solid">
        <fgColor theme="0" tint="-0.15"/>
        <bgColor rgb="FFD6E3BC"/>
      </patternFill>
    </fill>
    <fill>
      <patternFill patternType="solid">
        <fgColor rgb="FF92D050"/>
        <bgColor rgb="FF9BBB59"/>
      </patternFill>
    </fill>
    <fill>
      <patternFill patternType="solid">
        <fgColor rgb="FFD6E3BC"/>
        <bgColor rgb="FFD7E4BD"/>
      </patternFill>
    </fill>
    <fill>
      <patternFill patternType="solid">
        <fgColor theme="4" tint="0.7999"/>
        <bgColor rgb="FFD9D9D9"/>
      </patternFill>
    </fill>
    <fill>
      <patternFill patternType="solid">
        <fgColor theme="6" tint="0.5999"/>
        <bgColor rgb="FFD6E3BC"/>
      </patternFill>
    </fill>
    <fill>
      <patternFill patternType="solid">
        <fgColor theme="9" tint="0.5999"/>
        <bgColor rgb="FFFDEADA"/>
      </patternFill>
    </fill>
    <fill>
      <patternFill patternType="solid">
        <fgColor theme="6" tint="0.7999"/>
        <bgColor rgb="FFFDEADA"/>
      </patternFill>
    </fill>
    <fill>
      <patternFill patternType="solid">
        <fgColor theme="9" tint="0.7999"/>
        <bgColor rgb="FFEBF1DE"/>
      </patternFill>
    </fill>
    <fill>
      <patternFill patternType="solid">
        <fgColor rgb="FFFFFF00"/>
        <bgColor rgb="FFFFFF0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4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3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8" fillId="0" borderId="15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548DD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5B3D7"/>
          <bgColor rgb="FF000000"/>
        </patternFill>
      </fill>
    </dxf>
    <dxf>
      <fill>
        <patternFill patternType="solid">
          <fgColor rgb="FFB9CDE5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theme="4" tint="0.7999"/>
        </patternFill>
      </fill>
    </dxf>
    <dxf>
      <fill>
        <patternFill>
          <bgColor theme="4" tint="0.5999"/>
        </patternFill>
      </fill>
    </dxf>
    <dxf>
      <fill>
        <patternFill>
          <bgColor theme="4" tint="0.3999"/>
        </patternFill>
      </fill>
    </dxf>
    <dxf>
      <fill>
        <patternFill>
          <bgColor theme="4" tint="-0.25"/>
        </patternFill>
      </fill>
    </dxf>
    <dxf>
      <fill>
        <patternFill>
          <bgColor rgb="FF000000"/>
        </patternFill>
      </fill>
    </dxf>
  </dxf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008080"/>
      <rgbColor rgb="FFD9D9D9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BC"/>
      <rgbColor rgb="FFD7E4BD"/>
      <rgbColor rgb="FFFFFF99"/>
      <rgbColor rgb="FF95B3D7"/>
      <rgbColor rgb="FFFF99CC"/>
      <rgbColor rgb="FFCC99FF"/>
      <rgbColor rgb="FFFCD5B5"/>
      <rgbColor rgb="FF548DD4"/>
      <rgbColor rgb="FF33CCCC"/>
      <rgbColor rgb="FF92D050"/>
      <rgbColor rgb="FFFFCC00"/>
      <rgbColor rgb="FFFF9900"/>
      <rgbColor rgb="FFFF6600"/>
      <rgbColor rgb="FF376092"/>
      <rgbColor rgb="FF9BBB59"/>
      <rgbColor rgb="FF003366"/>
      <rgbColor rgb="FF339966"/>
      <rgbColor rgb="FF003300"/>
      <rgbColor rgb="FF333300"/>
      <rgbColor rgb="FF772C2A"/>
      <rgbColor rgb="FF993366"/>
      <rgbColor rgb="FF2C4D75"/>
      <rgbColor rgb="FF4D3B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50%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(ACCIDENT)'!$AO$10:$AU$10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2115670284.71179</c:v>
                </c:pt>
                <c:pt idx="4">
                  <c:v>2115670284.71179</c:v>
                </c:pt>
                <c:pt idx="5">
                  <c:v>21156702.8471179</c:v>
                </c:pt>
                <c:pt idx="6">
                  <c:v>2115670.28471179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(ACCIDENT)'!$AO$12:$AU$12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34.7811840100057</c:v>
                </c:pt>
                <c:pt idx="4">
                  <c:v>3.47811840100057</c:v>
                </c:pt>
                <c:pt idx="5">
                  <c:v>0.0347811840100057</c:v>
                </c:pt>
                <c:pt idx="6">
                  <c:v>0.00347811840100057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(ACCIDENT)'!$AO$35:$AU$35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3.28216186241796E+017</c:v>
                </c:pt>
                <c:pt idx="3">
                  <c:v>32821618624.1796</c:v>
                </c:pt>
                <c:pt idx="4">
                  <c:v>3282161862.41796</c:v>
                </c:pt>
                <c:pt idx="5">
                  <c:v>32821618.6241796</c:v>
                </c:pt>
                <c:pt idx="6">
                  <c:v>3282161.86241796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(ACCIDENT)'!$AO$64:$AU$64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29669245087310400</c:v>
                </c:pt>
                <c:pt idx="3">
                  <c:v>2966924508.73104</c:v>
                </c:pt>
                <c:pt idx="4">
                  <c:v>29669245.0873104</c:v>
                </c:pt>
                <c:pt idx="5">
                  <c:v>296692.450873104</c:v>
                </c:pt>
                <c:pt idx="6">
                  <c:v>29669.2450873104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517636"/>
        <c:axId val="30550357"/>
      </c:lineChart>
      <c:catAx>
        <c:axId val="425176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550357"/>
        <c:crossesAt val="1E-005"/>
        <c:auto val="1"/>
        <c:lblAlgn val="ctr"/>
        <c:lblOffset val="100"/>
        <c:noMultiLvlLbl val="0"/>
      </c:catAx>
      <c:valAx>
        <c:axId val="30550357"/>
        <c:scaling>
          <c:logBase val="10"/>
          <c:orientation val="minMax"/>
          <c:min val="0.01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517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s-ES" sz="14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0" lang="es-ES" sz="1400" spc="18" strike="noStrike">
                <a:solidFill>
                  <a:srgbClr val="000000"/>
                </a:solidFill>
                <a:latin typeface="Calibri"/>
                <a:ea typeface="Calibri"/>
              </a:rPr>
              <a:t>Actividad por etapas AF 95%</a:t>
            </a:r>
          </a:p>
        </c:rich>
      </c:tx>
      <c:layout>
        <c:manualLayout>
          <c:xMode val="edge"/>
          <c:yMode val="edge"/>
          <c:x val="0.327928022179212"/>
          <c:y val="0.0164602477027567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solidFill>
              <a:srgbClr val="2c4d75"/>
            </a:solidFill>
            <a:ln cap="rnd" w="22320">
              <a:solidFill>
                <a:srgbClr val="2c4d7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(ACCIDENT)'!$AX$10:$BD$10</c:f>
              <c:numCache>
                <c:formatCode>0.00000E+00</c:formatCode>
                <c:ptCount val="7"/>
                <c:pt idx="0">
                  <c:v>1057835142355.89</c:v>
                </c:pt>
                <c:pt idx="1">
                  <c:v>1057835142355.89</c:v>
                </c:pt>
                <c:pt idx="2">
                  <c:v>1057835142355.89</c:v>
                </c:pt>
                <c:pt idx="3">
                  <c:v>10578351423.5589</c:v>
                </c:pt>
                <c:pt idx="4">
                  <c:v>10578351423.5589</c:v>
                </c:pt>
                <c:pt idx="5">
                  <c:v>105783514.235589</c:v>
                </c:pt>
                <c:pt idx="6">
                  <c:v>52891757.1177946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solidFill>
              <a:srgbClr val="772c2a"/>
            </a:solidFill>
            <a:ln cap="rnd" w="22320">
              <a:solidFill>
                <a:srgbClr val="772c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(ACCIDENT)'!$AX$12:$BD$12</c:f>
              <c:numCache>
                <c:formatCode>0.00000E+00</c:formatCode>
                <c:ptCount val="7"/>
                <c:pt idx="0">
                  <c:v>347811840.100057</c:v>
                </c:pt>
                <c:pt idx="1">
                  <c:v>347811840.100057</c:v>
                </c:pt>
                <c:pt idx="2">
                  <c:v>347811840.100057</c:v>
                </c:pt>
                <c:pt idx="3">
                  <c:v>173.905920050029</c:v>
                </c:pt>
                <c:pt idx="4">
                  <c:v>57.9686400166762</c:v>
                </c:pt>
                <c:pt idx="5">
                  <c:v>0.579686400166762</c:v>
                </c:pt>
                <c:pt idx="6">
                  <c:v>0.289843200083381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solidFill>
              <a:srgbClr val="5f7530"/>
            </a:solidFill>
            <a:ln cap="rnd" w="22320">
              <a:solidFill>
                <a:srgbClr val="5f75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(ACCIDENT)'!$AX$35:$BD$35</c:f>
              <c:numCache>
                <c:formatCode>0.00000E+00</c:formatCode>
                <c:ptCount val="7"/>
                <c:pt idx="0">
                  <c:v>3.28216186241796E+019</c:v>
                </c:pt>
                <c:pt idx="1">
                  <c:v>3.28216186241796E+019</c:v>
                </c:pt>
                <c:pt idx="2">
                  <c:v>6.56432372483591E+017</c:v>
                </c:pt>
                <c:pt idx="3">
                  <c:v>328216186241.796</c:v>
                </c:pt>
                <c:pt idx="4">
                  <c:v>109405395413.932</c:v>
                </c:pt>
                <c:pt idx="5">
                  <c:v>1094053954.13932</c:v>
                </c:pt>
                <c:pt idx="6">
                  <c:v>547026977.069659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'AZ6 RZ1 (ACCIDENT)'!$B$64</c:f>
              <c:strCache>
                <c:ptCount val="1"/>
                <c:pt idx="0">
                  <c:v>Pm-147</c:v>
                </c:pt>
              </c:strCache>
            </c:strRef>
          </c:tx>
          <c:spPr>
            <a:solidFill>
              <a:srgbClr val="4d3b62"/>
            </a:solidFill>
            <a:ln cap="rnd" w="22320">
              <a:solidFill>
                <a:srgbClr val="4d3b6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(ACCIDENT)'!$AX$64:$BD$64</c:f>
              <c:numCache>
                <c:formatCode>0.00000E+00</c:formatCode>
                <c:ptCount val="7"/>
                <c:pt idx="0">
                  <c:v>2.96692450873104E+018</c:v>
                </c:pt>
                <c:pt idx="1">
                  <c:v>2.96692450873104E+018</c:v>
                </c:pt>
                <c:pt idx="2">
                  <c:v>59338490174620900</c:v>
                </c:pt>
                <c:pt idx="3">
                  <c:v>29669245087.3104</c:v>
                </c:pt>
                <c:pt idx="4">
                  <c:v>988974836.243681</c:v>
                </c:pt>
                <c:pt idx="5">
                  <c:v>9889748.36243681</c:v>
                </c:pt>
                <c:pt idx="6">
                  <c:v>4944874.1812184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79657"/>
        <c:axId val="24148077"/>
      </c:lineChart>
      <c:catAx>
        <c:axId val="58796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Etapas de contencion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4148077"/>
        <c:crosses val="autoZero"/>
        <c:auto val="1"/>
        <c:lblAlgn val="ctr"/>
        <c:lblOffset val="100"/>
        <c:noMultiLvlLbl val="0"/>
      </c:catAx>
      <c:valAx>
        <c:axId val="24148077"/>
        <c:scaling>
          <c:logBase val="10"/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lang="es-ES" sz="9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Actividad (bq)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18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796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60</xdr:col>
      <xdr:colOff>713880</xdr:colOff>
      <xdr:row>98</xdr:row>
      <xdr:rowOff>31320</xdr:rowOff>
    </xdr:from>
    <xdr:to>
      <xdr:col>67</xdr:col>
      <xdr:colOff>333000</xdr:colOff>
      <xdr:row>120</xdr:row>
      <xdr:rowOff>103680</xdr:rowOff>
    </xdr:to>
    <xdr:graphicFrame>
      <xdr:nvGraphicFramePr>
        <xdr:cNvPr id="0" name="Chart 1"/>
        <xdr:cNvGraphicFramePr/>
      </xdr:nvGraphicFramePr>
      <xdr:xfrm>
        <a:off x="60297120" y="13528080"/>
        <a:ext cx="6744600" cy="447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60</xdr:col>
      <xdr:colOff>528840</xdr:colOff>
      <xdr:row>70</xdr:row>
      <xdr:rowOff>149400</xdr:rowOff>
    </xdr:from>
    <xdr:to>
      <xdr:col>67</xdr:col>
      <xdr:colOff>285120</xdr:colOff>
      <xdr:row>95</xdr:row>
      <xdr:rowOff>53640</xdr:rowOff>
    </xdr:to>
    <xdr:graphicFrame>
      <xdr:nvGraphicFramePr>
        <xdr:cNvPr id="1" name="Chart 2"/>
        <xdr:cNvGraphicFramePr/>
      </xdr:nvGraphicFramePr>
      <xdr:xfrm>
        <a:off x="60112080" y="8445600"/>
        <a:ext cx="6881760" cy="450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61</xdr:col>
      <xdr:colOff>19080</xdr:colOff>
      <xdr:row>34</xdr:row>
      <xdr:rowOff>28440</xdr:rowOff>
    </xdr:from>
    <xdr:to>
      <xdr:col>68</xdr:col>
      <xdr:colOff>217800</xdr:colOff>
      <xdr:row>67</xdr:row>
      <xdr:rowOff>141840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60620400" y="3724200"/>
          <a:ext cx="7323840" cy="411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1276200</xdr:colOff>
      <xdr:row>125</xdr:row>
      <xdr:rowOff>75960</xdr:rowOff>
    </xdr:to>
    <xdr:pic>
      <xdr:nvPicPr>
        <xdr:cNvPr id="3" name="image2.png" descr=""/>
        <xdr:cNvPicPr/>
      </xdr:nvPicPr>
      <xdr:blipFill>
        <a:blip r:embed="rId4"/>
        <a:stretch/>
      </xdr:blipFill>
      <xdr:spPr>
        <a:xfrm>
          <a:off x="1644120" y="13096800"/>
          <a:ext cx="3390480" cy="587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57240</xdr:colOff>
      <xdr:row>2</xdr:row>
      <xdr:rowOff>9360</xdr:rowOff>
    </xdr:from>
    <xdr:to>
      <xdr:col>67</xdr:col>
      <xdr:colOff>112320</xdr:colOff>
      <xdr:row>30</xdr:row>
      <xdr:rowOff>199440</xdr:rowOff>
    </xdr:to>
    <xdr:pic>
      <xdr:nvPicPr>
        <xdr:cNvPr id="4" name="image1.png" descr=""/>
        <xdr:cNvPicPr/>
      </xdr:nvPicPr>
      <xdr:blipFill>
        <a:blip r:embed="rId5"/>
        <a:stretch/>
      </xdr:blipFill>
      <xdr:spPr>
        <a:xfrm>
          <a:off x="60658560" y="866520"/>
          <a:ext cx="6162480" cy="262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BI1000"/>
  <sheetViews>
    <sheetView showFormulas="false" showGridLines="true" showRowColHeaders="true" showZeros="true" rightToLeft="false" tabSelected="true" showOutlineSymbols="true" defaultGridColor="true" view="normal" topLeftCell="C1" colorId="64" zoomScale="108" zoomScaleNormal="108" zoomScalePageLayoutView="100" workbookViewId="0">
      <selection pane="topLeft" activeCell="AS12" activeCellId="0" sqref="AS12"/>
    </sheetView>
  </sheetViews>
  <sheetFormatPr defaultColWidth="14.4453125" defaultRowHeight="15" zeroHeight="false" outlineLevelRow="0" outlineLevelCol="0"/>
  <cols>
    <col collapsed="false" customWidth="true" hidden="false" outlineLevel="0" max="2" min="2" style="0" width="8.88"/>
    <col collapsed="false" customWidth="true" hidden="false" outlineLevel="0" max="4" min="3" style="0" width="15"/>
    <col collapsed="false" customWidth="true" hidden="false" outlineLevel="0" max="7" min="5" style="0" width="18.34"/>
    <col collapsed="false" customWidth="true" hidden="false" outlineLevel="0" max="12" min="8" style="0" width="14.33"/>
    <col collapsed="false" customWidth="true" hidden="false" outlineLevel="0" max="13" min="13" style="0" width="12.33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11.11"/>
    <col collapsed="false" customWidth="true" hidden="false" outlineLevel="0" max="17" min="17" style="0" width="13.56"/>
    <col collapsed="false" customWidth="true" hidden="false" outlineLevel="0" max="18" min="18" style="0" width="11.56"/>
    <col collapsed="false" customWidth="true" hidden="false" outlineLevel="0" max="20" min="19" style="0" width="12.11"/>
    <col collapsed="false" customWidth="true" hidden="false" outlineLevel="0" max="21" min="21" style="0" width="20.44"/>
    <col collapsed="false" customWidth="true" hidden="false" outlineLevel="0" max="23" min="22" style="0" width="12.11"/>
    <col collapsed="false" customWidth="true" hidden="false" outlineLevel="0" max="25" min="24" style="0" width="21.11"/>
    <col collapsed="false" customWidth="true" hidden="false" outlineLevel="0" max="35" min="26" style="0" width="13.11"/>
    <col collapsed="false" customWidth="true" hidden="false" outlineLevel="0" max="36" min="36" style="0" width="18.88"/>
    <col collapsed="false" customWidth="true" hidden="false" outlineLevel="0" max="37" min="37" style="0" width="16.44"/>
    <col collapsed="false" customWidth="true" hidden="false" outlineLevel="0" max="38" min="38" style="0" width="13.67"/>
    <col collapsed="false" customWidth="true" hidden="false" outlineLevel="0" max="39" min="39" style="0" width="18.88"/>
    <col collapsed="false" customWidth="true" hidden="false" outlineLevel="0" max="40" min="40" style="0" width="8.88"/>
    <col collapsed="false" customWidth="true" hidden="false" outlineLevel="0" max="47" min="41" style="0" width="12.56"/>
    <col collapsed="false" customWidth="true" hidden="false" outlineLevel="0" max="49" min="48" style="0" width="8.88"/>
    <col collapsed="false" customWidth="true" hidden="false" outlineLevel="0" max="52" min="50" style="0" width="12.88"/>
  </cols>
  <sheetData>
    <row r="1" customFormat="false" ht="15" hidden="false" customHeight="true" outlineLevel="0" collapsed="false">
      <c r="U1" s="1"/>
      <c r="V1" s="1"/>
      <c r="W1" s="1"/>
    </row>
    <row r="2" customFormat="false" ht="52.5" hidden="false" customHeight="true" outlineLevel="0" collapsed="false">
      <c r="O2" s="2" t="s">
        <v>0</v>
      </c>
      <c r="V2" s="3" t="s">
        <v>1</v>
      </c>
      <c r="W2" s="3"/>
      <c r="X2" s="4" t="s">
        <v>2</v>
      </c>
      <c r="Y2" s="4"/>
      <c r="Z2" s="4" t="s">
        <v>3</v>
      </c>
      <c r="AA2" s="4"/>
      <c r="AB2" s="4" t="s">
        <v>4</v>
      </c>
      <c r="AC2" s="4"/>
      <c r="AD2" s="5" t="s">
        <v>5</v>
      </c>
      <c r="AE2" s="5"/>
      <c r="AF2" s="5" t="s">
        <v>6</v>
      </c>
      <c r="AG2" s="5"/>
      <c r="AH2" s="4" t="s">
        <v>7</v>
      </c>
      <c r="AI2" s="4"/>
      <c r="AJ2" s="5" t="s">
        <v>8</v>
      </c>
      <c r="AK2" s="5"/>
      <c r="AL2" s="5"/>
      <c r="AM2" s="5" t="str">
        <f aca="false">B3</f>
        <v>Isotopo
</v>
      </c>
      <c r="AO2" s="6" t="s">
        <v>9</v>
      </c>
      <c r="AP2" s="6"/>
      <c r="AQ2" s="6"/>
      <c r="AR2" s="6"/>
      <c r="AS2" s="6"/>
      <c r="AT2" s="6"/>
      <c r="AU2" s="6"/>
      <c r="AX2" s="7" t="s">
        <v>10</v>
      </c>
      <c r="AY2" s="7"/>
      <c r="AZ2" s="7"/>
      <c r="BA2" s="7"/>
      <c r="BB2" s="7"/>
      <c r="BC2" s="7"/>
      <c r="BD2" s="7"/>
    </row>
    <row r="3" customFormat="false" ht="75" hidden="false" customHeight="true" outlineLevel="0" collapsed="false">
      <c r="B3" s="8" t="s">
        <v>11</v>
      </c>
      <c r="C3" s="9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9" t="s">
        <v>17</v>
      </c>
      <c r="I3" s="11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4" t="s">
        <v>29</v>
      </c>
      <c r="U3" s="14" t="s">
        <v>30</v>
      </c>
      <c r="V3" s="15" t="n">
        <v>0.5</v>
      </c>
      <c r="W3" s="15" t="n">
        <v>0.95</v>
      </c>
      <c r="X3" s="4" t="s">
        <v>31</v>
      </c>
      <c r="Y3" s="4" t="s">
        <v>32</v>
      </c>
      <c r="Z3" s="4" t="s">
        <v>33</v>
      </c>
      <c r="AA3" s="4" t="s">
        <v>34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39</v>
      </c>
      <c r="AG3" s="4" t="s">
        <v>40</v>
      </c>
      <c r="AH3" s="4" t="s">
        <v>41</v>
      </c>
      <c r="AI3" s="4" t="s">
        <v>42</v>
      </c>
      <c r="AJ3" s="4" t="s">
        <v>9</v>
      </c>
      <c r="AK3" s="4" t="s">
        <v>10</v>
      </c>
      <c r="AL3" s="4"/>
      <c r="AM3" s="5"/>
      <c r="AO3" s="16" t="s">
        <v>43</v>
      </c>
      <c r="AP3" s="17" t="s">
        <v>44</v>
      </c>
      <c r="AQ3" s="17" t="s">
        <v>45</v>
      </c>
      <c r="AR3" s="17" t="s">
        <v>46</v>
      </c>
      <c r="AS3" s="17" t="s">
        <v>47</v>
      </c>
      <c r="AT3" s="17" t="s">
        <v>6</v>
      </c>
      <c r="AU3" s="18" t="s">
        <v>7</v>
      </c>
      <c r="AX3" s="19" t="s">
        <v>43</v>
      </c>
      <c r="AY3" s="20" t="s">
        <v>44</v>
      </c>
      <c r="AZ3" s="20" t="s">
        <v>45</v>
      </c>
      <c r="BA3" s="20" t="s">
        <v>46</v>
      </c>
      <c r="BB3" s="20" t="s">
        <v>47</v>
      </c>
      <c r="BC3" s="20" t="s">
        <v>6</v>
      </c>
      <c r="BD3" s="18" t="s">
        <v>7</v>
      </c>
      <c r="BF3" s="21" t="s">
        <v>48</v>
      </c>
      <c r="BG3" s="21" t="s">
        <v>49</v>
      </c>
      <c r="BH3" s="21" t="s">
        <v>50</v>
      </c>
      <c r="BI3" s="21" t="s">
        <v>51</v>
      </c>
    </row>
    <row r="4" customFormat="false" ht="14.25" hidden="true" customHeight="true" outlineLevel="0" collapsed="false">
      <c r="B4" s="22" t="s">
        <v>52</v>
      </c>
      <c r="C4" s="23" t="n">
        <v>6012</v>
      </c>
      <c r="D4" s="23"/>
      <c r="E4" s="24" t="n">
        <v>0.0118211</v>
      </c>
      <c r="F4" s="24"/>
      <c r="G4" s="24" t="s">
        <v>53</v>
      </c>
      <c r="H4" s="25" t="s">
        <v>53</v>
      </c>
      <c r="I4" s="26"/>
      <c r="J4" s="27"/>
      <c r="K4" s="28"/>
      <c r="L4" s="28"/>
      <c r="M4" s="29" t="str">
        <f aca="false">IF(ISNUMBER(BG4),BG4,"")</f>
        <v/>
      </c>
      <c r="N4" s="30" t="n">
        <f aca="false">IF(ISNUMBER(M4),LN(2)/M4,0)</f>
        <v>0</v>
      </c>
      <c r="O4" s="31" t="n">
        <f aca="false">10^-24</f>
        <v>1E-024</v>
      </c>
      <c r="P4" s="31" t="n">
        <f aca="false">PI()*$K$97^2*$K$98</f>
        <v>13978830.6714131</v>
      </c>
      <c r="Q4" s="32" t="n">
        <f aca="false">E4/O4</f>
        <v>1.18211E+022</v>
      </c>
      <c r="R4" s="32" t="n">
        <f aca="false">Q4*P4</f>
        <v>1.65245155249842E+029</v>
      </c>
      <c r="S4" s="32" t="n">
        <f aca="false">R4*N4</f>
        <v>0</v>
      </c>
      <c r="T4" s="32"/>
      <c r="U4" s="32"/>
      <c r="V4" s="33"/>
      <c r="W4" s="33"/>
      <c r="X4" s="34" t="n">
        <v>0.01</v>
      </c>
      <c r="Y4" s="34"/>
      <c r="Z4" s="34" t="n">
        <v>0.999</v>
      </c>
      <c r="AA4" s="34"/>
      <c r="AB4" s="34"/>
      <c r="AC4" s="34"/>
      <c r="AD4" s="34"/>
      <c r="AE4" s="34"/>
      <c r="AF4" s="34"/>
      <c r="AG4" s="34"/>
      <c r="AH4" s="34"/>
      <c r="AI4" s="34"/>
      <c r="AJ4" s="33" t="n">
        <f aca="false">S4*X4*(1-Z4)</f>
        <v>0</v>
      </c>
      <c r="AK4" s="35"/>
      <c r="AL4" s="35"/>
      <c r="AM4" s="35"/>
      <c r="BF4" s="36" t="s">
        <v>54</v>
      </c>
    </row>
    <row r="5" customFormat="false" ht="14.25" hidden="true" customHeight="true" outlineLevel="0" collapsed="false">
      <c r="B5" s="22" t="s">
        <v>55</v>
      </c>
      <c r="C5" s="23" t="n">
        <v>8016</v>
      </c>
      <c r="D5" s="23"/>
      <c r="E5" s="37" t="n">
        <v>0.0354634</v>
      </c>
      <c r="F5" s="37"/>
      <c r="G5" s="37" t="s">
        <v>53</v>
      </c>
      <c r="H5" s="25" t="s">
        <v>53</v>
      </c>
      <c r="I5" s="26"/>
      <c r="J5" s="27"/>
      <c r="K5" s="28"/>
      <c r="L5" s="28"/>
      <c r="M5" s="29" t="str">
        <f aca="false">IF(ISNUMBER(BG5),BG5,"")</f>
        <v/>
      </c>
      <c r="N5" s="30" t="n">
        <f aca="false">IF(ISNUMBER(M5),LN(2)/M5,0)</f>
        <v>0</v>
      </c>
      <c r="O5" s="31" t="n">
        <f aca="false">10^-24</f>
        <v>1E-024</v>
      </c>
      <c r="P5" s="31" t="n">
        <f aca="false">PI()*$K$97^2*$K$98</f>
        <v>13978830.6714131</v>
      </c>
      <c r="Q5" s="32" t="n">
        <f aca="false">E5/O5</f>
        <v>3.54634E+022</v>
      </c>
      <c r="R5" s="32" t="n">
        <f aca="false">Q5*P5</f>
        <v>4.95736863632593E+029</v>
      </c>
      <c r="S5" s="32" t="n">
        <f aca="false">R5*N5</f>
        <v>0</v>
      </c>
      <c r="T5" s="32"/>
      <c r="U5" s="32"/>
      <c r="V5" s="32"/>
      <c r="W5" s="32"/>
      <c r="X5" s="38" t="n">
        <v>0.01</v>
      </c>
      <c r="Y5" s="38"/>
      <c r="Z5" s="38" t="n">
        <v>0.999</v>
      </c>
      <c r="AA5" s="38"/>
      <c r="AB5" s="38"/>
      <c r="AC5" s="38"/>
      <c r="AD5" s="38"/>
      <c r="AE5" s="38"/>
      <c r="AF5" s="38"/>
      <c r="AG5" s="38"/>
      <c r="AH5" s="38"/>
      <c r="AI5" s="38"/>
      <c r="AJ5" s="32" t="n">
        <f aca="false">S5*X5*(1-Z5)</f>
        <v>0</v>
      </c>
      <c r="AK5" s="35"/>
      <c r="AL5" s="35"/>
      <c r="AM5" s="35"/>
      <c r="BF5" s="36" t="s">
        <v>54</v>
      </c>
    </row>
    <row r="6" customFormat="false" ht="14.25" hidden="true" customHeight="true" outlineLevel="0" collapsed="false">
      <c r="B6" s="22" t="s">
        <v>56</v>
      </c>
      <c r="C6" s="23" t="n">
        <v>36083</v>
      </c>
      <c r="D6" s="23"/>
      <c r="E6" s="37" t="n">
        <v>1.00841E-005</v>
      </c>
      <c r="F6" s="37"/>
      <c r="G6" s="37" t="s">
        <v>53</v>
      </c>
      <c r="H6" s="25" t="s">
        <v>53</v>
      </c>
      <c r="I6" s="26"/>
      <c r="J6" s="27"/>
      <c r="K6" s="28"/>
      <c r="L6" s="28"/>
      <c r="M6" s="29" t="str">
        <f aca="false">IF(ISNUMBER(BG6),BG6,"")</f>
        <v/>
      </c>
      <c r="N6" s="30" t="n">
        <f aca="false">IF(ISNUMBER(M6),LN(2)/M6,0)</f>
        <v>0</v>
      </c>
      <c r="O6" s="31" t="n">
        <f aca="false">10^-24</f>
        <v>1E-024</v>
      </c>
      <c r="P6" s="31" t="n">
        <f aca="false">PI()*$K$97^2*$K$98</f>
        <v>13978830.6714131</v>
      </c>
      <c r="Q6" s="32" t="n">
        <f aca="false">E6/O6</f>
        <v>1.00841E+019</v>
      </c>
      <c r="R6" s="32" t="n">
        <f aca="false">Q6*P6</f>
        <v>1.40963926373597E+026</v>
      </c>
      <c r="S6" s="32" t="n">
        <f aca="false">R6*N6</f>
        <v>0</v>
      </c>
      <c r="T6" s="32"/>
      <c r="U6" s="32"/>
      <c r="V6" s="32"/>
      <c r="W6" s="32"/>
      <c r="X6" s="38" t="n">
        <v>0.01</v>
      </c>
      <c r="Y6" s="38"/>
      <c r="Z6" s="38" t="n">
        <v>0.999</v>
      </c>
      <c r="AA6" s="38"/>
      <c r="AB6" s="38"/>
      <c r="AC6" s="38"/>
      <c r="AD6" s="38"/>
      <c r="AE6" s="38"/>
      <c r="AF6" s="38"/>
      <c r="AG6" s="38"/>
      <c r="AH6" s="38"/>
      <c r="AI6" s="38"/>
      <c r="AJ6" s="32" t="n">
        <f aca="false">S6*X6*(1-Z6)</f>
        <v>0</v>
      </c>
      <c r="AK6" s="35"/>
      <c r="AL6" s="35"/>
      <c r="AM6" s="35"/>
      <c r="BF6" s="36" t="s">
        <v>54</v>
      </c>
    </row>
    <row r="7" customFormat="false" ht="14.25" hidden="true" customHeight="true" outlineLevel="0" collapsed="false">
      <c r="B7" s="22" t="s">
        <v>57</v>
      </c>
      <c r="C7" s="23" t="n">
        <v>36084</v>
      </c>
      <c r="D7" s="23"/>
      <c r="E7" s="37" t="n">
        <v>2.38999E-005</v>
      </c>
      <c r="F7" s="37"/>
      <c r="G7" s="37" t="s">
        <v>53</v>
      </c>
      <c r="H7" s="25" t="s">
        <v>53</v>
      </c>
      <c r="I7" s="26"/>
      <c r="J7" s="27"/>
      <c r="K7" s="28"/>
      <c r="L7" s="28"/>
      <c r="M7" s="29" t="str">
        <f aca="false">IF(ISNUMBER(BG7),BG7,"")</f>
        <v/>
      </c>
      <c r="N7" s="30" t="n">
        <f aca="false">IF(ISNUMBER(M7),LN(2)/M7,0)</f>
        <v>0</v>
      </c>
      <c r="O7" s="31" t="n">
        <f aca="false">10^-24</f>
        <v>1E-024</v>
      </c>
      <c r="P7" s="31" t="n">
        <f aca="false">PI()*$K$97^2*$K$98</f>
        <v>13978830.6714131</v>
      </c>
      <c r="Q7" s="32" t="n">
        <f aca="false">E7/O7</f>
        <v>2.38999E+019</v>
      </c>
      <c r="R7" s="32" t="n">
        <f aca="false">Q7*P7</f>
        <v>3.34092655163707E+026</v>
      </c>
      <c r="S7" s="32" t="n">
        <f aca="false">R7*N7</f>
        <v>0</v>
      </c>
      <c r="T7" s="32"/>
      <c r="U7" s="32"/>
      <c r="V7" s="32"/>
      <c r="W7" s="32"/>
      <c r="X7" s="38" t="n">
        <v>0.01</v>
      </c>
      <c r="Y7" s="38"/>
      <c r="Z7" s="38" t="n">
        <v>0.999</v>
      </c>
      <c r="AA7" s="38"/>
      <c r="AB7" s="38"/>
      <c r="AC7" s="38"/>
      <c r="AD7" s="38"/>
      <c r="AE7" s="38"/>
      <c r="AF7" s="38"/>
      <c r="AG7" s="38"/>
      <c r="AH7" s="38"/>
      <c r="AI7" s="38"/>
      <c r="AJ7" s="32" t="n">
        <f aca="false">S7*X7*(1-Z7)</f>
        <v>0</v>
      </c>
      <c r="AK7" s="35"/>
      <c r="AL7" s="35"/>
      <c r="AM7" s="35"/>
      <c r="BF7" s="36" t="s">
        <v>54</v>
      </c>
    </row>
    <row r="8" customFormat="false" ht="14.25" hidden="true" customHeight="true" outlineLevel="0" collapsed="false">
      <c r="B8" s="22" t="s">
        <v>58</v>
      </c>
      <c r="C8" s="23" t="n">
        <v>36086</v>
      </c>
      <c r="D8" s="23"/>
      <c r="E8" s="37" t="n">
        <v>4.04672E-005</v>
      </c>
      <c r="F8" s="37"/>
      <c r="G8" s="37" t="s">
        <v>59</v>
      </c>
      <c r="H8" s="25" t="s">
        <v>53</v>
      </c>
      <c r="I8" s="26"/>
      <c r="J8" s="27"/>
      <c r="K8" s="28"/>
      <c r="L8" s="28"/>
      <c r="M8" s="29" t="str">
        <f aca="false">IF(ISNUMBER(BG8),BG8,"")</f>
        <v/>
      </c>
      <c r="N8" s="30" t="n">
        <f aca="false">IF(ISNUMBER(M8),LN(2)/M8,0)</f>
        <v>0</v>
      </c>
      <c r="O8" s="31" t="n">
        <f aca="false">10^-24</f>
        <v>1E-024</v>
      </c>
      <c r="P8" s="31" t="n">
        <f aca="false">PI()*$K$97^2*$K$98</f>
        <v>13978830.6714131</v>
      </c>
      <c r="Q8" s="32" t="n">
        <f aca="false">E8/O8</f>
        <v>4.04672E+019</v>
      </c>
      <c r="R8" s="32" t="n">
        <f aca="false">Q8*P8</f>
        <v>5.6568413654621E+026</v>
      </c>
      <c r="S8" s="32" t="n">
        <f aca="false">R8*N8</f>
        <v>0</v>
      </c>
      <c r="T8" s="32"/>
      <c r="U8" s="32"/>
      <c r="V8" s="32"/>
      <c r="W8" s="32"/>
      <c r="X8" s="38" t="n">
        <v>0.01</v>
      </c>
      <c r="Y8" s="38"/>
      <c r="Z8" s="38" t="n">
        <v>0.999</v>
      </c>
      <c r="AA8" s="38"/>
      <c r="AB8" s="38"/>
      <c r="AC8" s="38"/>
      <c r="AD8" s="38"/>
      <c r="AE8" s="38"/>
      <c r="AF8" s="38"/>
      <c r="AG8" s="38"/>
      <c r="AH8" s="38"/>
      <c r="AI8" s="38"/>
      <c r="AJ8" s="32" t="n">
        <f aca="false">S8*X8*(1-Z8)</f>
        <v>0</v>
      </c>
      <c r="AK8" s="35"/>
      <c r="AL8" s="35"/>
      <c r="AM8" s="35"/>
      <c r="BF8" s="36" t="s">
        <v>54</v>
      </c>
    </row>
    <row r="9" customFormat="false" ht="14.25" hidden="true" customHeight="true" outlineLevel="0" collapsed="false">
      <c r="B9" s="22" t="s">
        <v>60</v>
      </c>
      <c r="C9" s="23" t="n">
        <v>37085</v>
      </c>
      <c r="D9" s="23"/>
      <c r="E9" s="37" t="n">
        <v>2.31987E-005</v>
      </c>
      <c r="F9" s="37"/>
      <c r="G9" s="37" t="s">
        <v>53</v>
      </c>
      <c r="H9" s="25" t="s">
        <v>53</v>
      </c>
      <c r="I9" s="26"/>
      <c r="J9" s="27"/>
      <c r="K9" s="28"/>
      <c r="L9" s="28"/>
      <c r="M9" s="29" t="str">
        <f aca="false">IF(ISNUMBER(BG9),BG9,"")</f>
        <v/>
      </c>
      <c r="N9" s="30" t="n">
        <f aca="false">IF(ISNUMBER(M9),LN(2)/M9,0)</f>
        <v>0</v>
      </c>
      <c r="O9" s="31" t="n">
        <f aca="false">10^-24</f>
        <v>1E-024</v>
      </c>
      <c r="P9" s="31" t="n">
        <f aca="false">PI()*$K$97^2*$K$98</f>
        <v>13978830.6714131</v>
      </c>
      <c r="Q9" s="32" t="n">
        <f aca="false">E9/O9</f>
        <v>2.31987E+019</v>
      </c>
      <c r="R9" s="32" t="n">
        <f aca="false">Q9*P9</f>
        <v>3.24290699096912E+026</v>
      </c>
      <c r="S9" s="32" t="n">
        <f aca="false">R9*N9</f>
        <v>0</v>
      </c>
      <c r="T9" s="32"/>
      <c r="U9" s="32"/>
      <c r="V9" s="39"/>
      <c r="W9" s="39"/>
      <c r="X9" s="40" t="n">
        <v>0.01</v>
      </c>
      <c r="Y9" s="40"/>
      <c r="Z9" s="40" t="n">
        <v>0.999</v>
      </c>
      <c r="AA9" s="40"/>
      <c r="AB9" s="40"/>
      <c r="AC9" s="40"/>
      <c r="AD9" s="40"/>
      <c r="AE9" s="40"/>
      <c r="AF9" s="40"/>
      <c r="AG9" s="40"/>
      <c r="AH9" s="40"/>
      <c r="AI9" s="40"/>
      <c r="AJ9" s="39" t="n">
        <f aca="false">S9*X9*(1-Z9)</f>
        <v>0</v>
      </c>
      <c r="AK9" s="35"/>
      <c r="AL9" s="35"/>
      <c r="AM9" s="35"/>
      <c r="BF9" s="36" t="s">
        <v>54</v>
      </c>
    </row>
    <row r="10" customFormat="false" ht="14.25" hidden="false" customHeight="true" outlineLevel="0" collapsed="false">
      <c r="B10" s="22" t="s">
        <v>61</v>
      </c>
      <c r="C10" s="23" t="n">
        <v>46107</v>
      </c>
      <c r="D10" s="23" t="s">
        <v>62</v>
      </c>
      <c r="E10" s="37" t="n">
        <v>2.23939E-005</v>
      </c>
      <c r="F10" s="37"/>
      <c r="G10" s="37" t="s">
        <v>63</v>
      </c>
      <c r="H10" s="41" t="s">
        <v>64</v>
      </c>
      <c r="I10" s="42" t="n">
        <v>6500000</v>
      </c>
      <c r="J10" s="27"/>
      <c r="K10" s="28"/>
      <c r="L10" s="28"/>
      <c r="M10" s="29" t="n">
        <f aca="false">IF(ISNUMBER(BG10),BG10,"")</f>
        <v>205120019520000</v>
      </c>
      <c r="N10" s="29" t="n">
        <f aca="false">IF(ISNUMBER(M10),LN(2)/M10,0)</f>
        <v>3.37922735275657E-015</v>
      </c>
      <c r="O10" s="31" t="n">
        <f aca="false">10^-24</f>
        <v>1E-024</v>
      </c>
      <c r="P10" s="31" t="n">
        <f aca="false">PI()*$K$97^2*$K$98</f>
        <v>13978830.6714131</v>
      </c>
      <c r="Q10" s="32" t="n">
        <f aca="false">E10/O10</f>
        <v>2.23939E+019</v>
      </c>
      <c r="R10" s="32" t="n">
        <f aca="false">Q10*P10</f>
        <v>3.13040536172559E+026</v>
      </c>
      <c r="S10" s="43" t="n">
        <f aca="false">R10*N10</f>
        <v>1057835142355.89</v>
      </c>
      <c r="T10" s="44" t="n">
        <f aca="false">S10*0.000000000027</f>
        <v>28.5615488436091</v>
      </c>
      <c r="U10" s="45" t="str">
        <f aca="false">D10</f>
        <v>Ag, Pd</v>
      </c>
      <c r="V10" s="46" t="n">
        <v>3E-005</v>
      </c>
      <c r="W10" s="46" t="n">
        <v>8E-005</v>
      </c>
      <c r="X10" s="47" t="n">
        <v>1</v>
      </c>
      <c r="Y10" s="47" t="n">
        <v>1</v>
      </c>
      <c r="Z10" s="47" t="n">
        <v>1</v>
      </c>
      <c r="AA10" s="47" t="n">
        <v>1</v>
      </c>
      <c r="AB10" s="47" t="n">
        <v>500</v>
      </c>
      <c r="AC10" s="47" t="n">
        <v>100</v>
      </c>
      <c r="AD10" s="47" t="n">
        <v>1</v>
      </c>
      <c r="AE10" s="47" t="n">
        <v>1</v>
      </c>
      <c r="AF10" s="48" t="n">
        <v>100</v>
      </c>
      <c r="AG10" s="48" t="n">
        <v>100</v>
      </c>
      <c r="AH10" s="47" t="n">
        <v>10</v>
      </c>
      <c r="AI10" s="47" t="n">
        <v>2</v>
      </c>
      <c r="AJ10" s="49" t="n">
        <f aca="false">$S10*(1/X10)*(1/Z10)*(1/AB10)*(1/AD10)*(1/AF10)*(1/AH10)</f>
        <v>2115670.28471179</v>
      </c>
      <c r="AK10" s="49" t="n">
        <f aca="false">$S10*(1/Y10)*(1/AA10)*(1/AC10)*(1/AE10)*(1/AG10)*(1/AI10)</f>
        <v>52891757.1177946</v>
      </c>
      <c r="AL10" s="49" t="n">
        <f aca="false">AK10*0.000000000027</f>
        <v>0.00142807744218046</v>
      </c>
      <c r="AM10" s="49" t="str">
        <f aca="false">B10</f>
        <v>Pd-107</v>
      </c>
      <c r="AO10" s="50" t="n">
        <f aca="false">$S10</f>
        <v>1057835142355.89</v>
      </c>
      <c r="AP10" s="50" t="n">
        <f aca="false">$S10*(1/X10)</f>
        <v>1057835142355.89</v>
      </c>
      <c r="AQ10" s="50" t="n">
        <f aca="false">$S10*(1/X10)*(1/Z10)</f>
        <v>1057835142355.89</v>
      </c>
      <c r="AR10" s="50" t="n">
        <f aca="false">$S10*(1/X10)*(1/Z10)*(1/AB10)</f>
        <v>2115670284.71179</v>
      </c>
      <c r="AS10" s="50" t="n">
        <f aca="false">$S10*(1/X10)*(1/Z10)*(1/AB10)*(1/AD10)</f>
        <v>2115670284.71179</v>
      </c>
      <c r="AT10" s="51" t="n">
        <f aca="false">$S10*(1/X10)*(1/Z10)*(1/AB10)*(1/AD10)*(1/AF10)</f>
        <v>21156702.8471179</v>
      </c>
      <c r="AU10" s="50" t="n">
        <f aca="false">$S10*(1/X10)*(1/Z10)*(1/AB10)*(1/AD10)*(1/AF10)*(1/AH10)</f>
        <v>2115670.28471179</v>
      </c>
      <c r="AX10" s="50" t="n">
        <f aca="false">AO10</f>
        <v>1057835142355.89</v>
      </c>
      <c r="AY10" s="50" t="n">
        <f aca="false">AX10*(1/Y10)</f>
        <v>1057835142355.89</v>
      </c>
      <c r="AZ10" s="50" t="n">
        <f aca="false">AY10*(1/AA10)</f>
        <v>1057835142355.89</v>
      </c>
      <c r="BA10" s="50" t="n">
        <f aca="false">AZ10*(1/AC10)</f>
        <v>10578351423.5589</v>
      </c>
      <c r="BB10" s="50" t="n">
        <f aca="false">BA10*(1/AE10)</f>
        <v>10578351423.5589</v>
      </c>
      <c r="BC10" s="50" t="n">
        <f aca="false">BB10*(1/AG10)</f>
        <v>105783514.235589</v>
      </c>
      <c r="BD10" s="50" t="n">
        <f aca="false">BC10*(1/AI10)</f>
        <v>52891757.1177946</v>
      </c>
      <c r="BF10" s="36" t="s">
        <v>65</v>
      </c>
      <c r="BG10" s="0" t="n">
        <v>205120019520000</v>
      </c>
    </row>
    <row r="11" customFormat="false" ht="15" hidden="true" customHeight="true" outlineLevel="0" collapsed="false">
      <c r="B11" s="22" t="s">
        <v>66</v>
      </c>
      <c r="C11" s="23" t="n">
        <v>38088</v>
      </c>
      <c r="D11" s="23"/>
      <c r="E11" s="37" t="n">
        <v>7.66113E-005</v>
      </c>
      <c r="F11" s="37"/>
      <c r="G11" s="37" t="s">
        <v>67</v>
      </c>
      <c r="H11" s="25" t="s">
        <v>53</v>
      </c>
      <c r="I11" s="26"/>
      <c r="J11" s="52"/>
      <c r="K11" s="53"/>
      <c r="L11" s="53"/>
      <c r="M11" s="29" t="str">
        <f aca="false">IF(ISNUMBER(BG11),BG11,"")</f>
        <v/>
      </c>
      <c r="N11" s="30" t="n">
        <f aca="false">IF(ISNUMBER(M11),LN(2)/M11,0)</f>
        <v>0</v>
      </c>
      <c r="O11" s="31" t="n">
        <f aca="false">10^-24</f>
        <v>1E-024</v>
      </c>
      <c r="P11" s="31" t="n">
        <f aca="false">PI()*$K$97^2*$K$98</f>
        <v>13978830.6714131</v>
      </c>
      <c r="Q11" s="32" t="n">
        <f aca="false">E11/O11</f>
        <v>7.66113E+019</v>
      </c>
      <c r="R11" s="32" t="n">
        <f aca="false">Q11*P11</f>
        <v>1.07093639021683E+027</v>
      </c>
      <c r="S11" s="32" t="n">
        <f aca="false">R11*N11</f>
        <v>0</v>
      </c>
      <c r="T11" s="32"/>
      <c r="U11" s="32"/>
      <c r="V11" s="54"/>
      <c r="W11" s="54"/>
      <c r="X11" s="55" t="n">
        <v>0.01</v>
      </c>
      <c r="Y11" s="55"/>
      <c r="Z11" s="55" t="n">
        <v>0.999</v>
      </c>
      <c r="AA11" s="55"/>
      <c r="AB11" s="55"/>
      <c r="AC11" s="55"/>
      <c r="AD11" s="55"/>
      <c r="AE11" s="55"/>
      <c r="AF11" s="55"/>
      <c r="AG11" s="55"/>
      <c r="AH11" s="55"/>
      <c r="AI11" s="55"/>
      <c r="AJ11" s="54" t="n">
        <f aca="false">S11*X11*(1-Z11)</f>
        <v>0</v>
      </c>
      <c r="AK11" s="35"/>
      <c r="AL11" s="35"/>
      <c r="AM11" s="35"/>
      <c r="BF11" s="36" t="s">
        <v>54</v>
      </c>
    </row>
    <row r="12" customFormat="false" ht="14.25" hidden="false" customHeight="true" outlineLevel="0" collapsed="false">
      <c r="B12" s="22" t="s">
        <v>68</v>
      </c>
      <c r="C12" s="23" t="n">
        <v>37087</v>
      </c>
      <c r="D12" s="23" t="s">
        <v>69</v>
      </c>
      <c r="E12" s="37" t="n">
        <v>5.62988E-005</v>
      </c>
      <c r="F12" s="37" t="s">
        <v>70</v>
      </c>
      <c r="G12" s="37" t="s">
        <v>71</v>
      </c>
      <c r="H12" s="41" t="s">
        <v>72</v>
      </c>
      <c r="I12" s="42" t="n">
        <v>1600000000</v>
      </c>
      <c r="J12" s="27"/>
      <c r="K12" s="28"/>
      <c r="L12" s="28"/>
      <c r="M12" s="29" t="n">
        <f aca="false">IF(ISNUMBER(BG12),BG12,"")</f>
        <v>1.568379226176E+018</v>
      </c>
      <c r="N12" s="29" t="n">
        <f aca="false">IF(ISNUMBER(M12),LN(2)/M12,0)</f>
        <v>4.41951263438988E-019</v>
      </c>
      <c r="O12" s="31" t="n">
        <f aca="false">10^-24</f>
        <v>1E-024</v>
      </c>
      <c r="P12" s="31" t="n">
        <f aca="false">PI()*$K$97^2*$K$98</f>
        <v>13978830.6714131</v>
      </c>
      <c r="Q12" s="32" t="n">
        <f aca="false">E12/O12</f>
        <v>5.62988E+019</v>
      </c>
      <c r="R12" s="32" t="n">
        <f aca="false">Q12*P12</f>
        <v>7.86991392203754E+026</v>
      </c>
      <c r="S12" s="43" t="n">
        <f aca="false">R12*N12</f>
        <v>347811840.100057</v>
      </c>
      <c r="T12" s="44" t="n">
        <f aca="false">S12*0.000000000027</f>
        <v>0.00939091968270154</v>
      </c>
      <c r="U12" s="45" t="str">
        <f aca="false">D12</f>
        <v>Cs, Rb</v>
      </c>
      <c r="V12" s="56" t="n">
        <v>3E-005</v>
      </c>
      <c r="W12" s="56" t="n">
        <v>8E-005</v>
      </c>
      <c r="X12" s="57" t="n">
        <v>1</v>
      </c>
      <c r="Y12" s="57" t="n">
        <v>1</v>
      </c>
      <c r="Z12" s="57" t="n">
        <v>1</v>
      </c>
      <c r="AA12" s="57" t="n">
        <v>1</v>
      </c>
      <c r="AB12" s="57" t="n">
        <f aca="false">10^7</f>
        <v>10000000</v>
      </c>
      <c r="AC12" s="57" t="n">
        <f aca="false">2000000</f>
        <v>2000000</v>
      </c>
      <c r="AD12" s="57" t="n">
        <v>10</v>
      </c>
      <c r="AE12" s="57" t="n">
        <v>3</v>
      </c>
      <c r="AF12" s="58" t="n">
        <v>100</v>
      </c>
      <c r="AG12" s="58" t="n">
        <v>100</v>
      </c>
      <c r="AH12" s="57" t="n">
        <v>10</v>
      </c>
      <c r="AI12" s="57" t="n">
        <v>2</v>
      </c>
      <c r="AJ12" s="49" t="n">
        <f aca="false">$S12*(1/X12)*(1/Z12)*(1/AB12)*(1/AD12)*(1/AF12)*(1/AH12)</f>
        <v>0.00347811840100057</v>
      </c>
      <c r="AK12" s="49" t="n">
        <f aca="false">$S12*(1/Y12)*(1/AA12)*(1/AC12)*(1/AE12)*(1/AG12)*(1/AI12)</f>
        <v>0.289843200083381</v>
      </c>
      <c r="AL12" s="49" t="n">
        <f aca="false">AK12*0.000000000027</f>
        <v>7.82576640225129E-012</v>
      </c>
      <c r="AM12" s="49" t="str">
        <f aca="false">B12</f>
        <v>Rb-87</v>
      </c>
      <c r="AO12" s="50" t="n">
        <f aca="false">$S12</f>
        <v>347811840.100057</v>
      </c>
      <c r="AP12" s="50" t="n">
        <f aca="false">$S12*(1/X12)</f>
        <v>347811840.100057</v>
      </c>
      <c r="AQ12" s="50" t="n">
        <f aca="false">$S12*(1/X12)*(1/Z12)</f>
        <v>347811840.100057</v>
      </c>
      <c r="AR12" s="50" t="n">
        <f aca="false">$S12*(1/X12)*(1/Z12)*(1/AB12)</f>
        <v>34.7811840100057</v>
      </c>
      <c r="AS12" s="50" t="n">
        <f aca="false">$S12*(1/X12)*(1/Z12)*(1/AB12)*(1/AD12)</f>
        <v>3.47811840100057</v>
      </c>
      <c r="AT12" s="51" t="n">
        <f aca="false">$S12*(1/X12)*(1/Z12)*(1/AB12)*(1/AD12)*(1/AF12)</f>
        <v>0.0347811840100057</v>
      </c>
      <c r="AU12" s="50" t="n">
        <f aca="false">$S12*(1/X12)*(1/Z12)*(1/AB12)*(1/AD12)*(1/AF12)*(1/AH12)</f>
        <v>0.00347811840100057</v>
      </c>
      <c r="AX12" s="50" t="n">
        <f aca="false">AO12</f>
        <v>347811840.100057</v>
      </c>
      <c r="AY12" s="50" t="n">
        <f aca="false">AX12*(1/Y12)</f>
        <v>347811840.100057</v>
      </c>
      <c r="AZ12" s="50" t="n">
        <f aca="false">AY12*(1/AA12)</f>
        <v>347811840.100057</v>
      </c>
      <c r="BA12" s="50" t="n">
        <f aca="false">AZ12*(1/AC12)</f>
        <v>173.905920050029</v>
      </c>
      <c r="BB12" s="50" t="n">
        <f aca="false">BA12*(1/AE12)</f>
        <v>57.9686400166762</v>
      </c>
      <c r="BC12" s="50" t="n">
        <f aca="false">BB12*(1/AG12)</f>
        <v>0.579686400166762</v>
      </c>
      <c r="BD12" s="50" t="n">
        <f aca="false">BC12*(1/AI12)</f>
        <v>0.289843200083381</v>
      </c>
      <c r="BF12" s="36" t="s">
        <v>73</v>
      </c>
      <c r="BG12" s="0" t="n">
        <v>1.568379226176E+018</v>
      </c>
    </row>
    <row r="13" customFormat="false" ht="14.25" hidden="false" customHeight="true" outlineLevel="0" collapsed="false">
      <c r="B13" s="22" t="s">
        <v>74</v>
      </c>
      <c r="C13" s="23" t="n">
        <v>55135</v>
      </c>
      <c r="D13" s="23" t="s">
        <v>69</v>
      </c>
      <c r="E13" s="37" t="n">
        <v>2.74688E-005</v>
      </c>
      <c r="F13" s="37" t="s">
        <v>75</v>
      </c>
      <c r="G13" s="37" t="s">
        <v>76</v>
      </c>
      <c r="H13" s="41" t="s">
        <v>77</v>
      </c>
      <c r="I13" s="42" t="n">
        <v>2300000</v>
      </c>
      <c r="J13" s="27"/>
      <c r="K13" s="28"/>
      <c r="L13" s="28"/>
      <c r="M13" s="29" t="n">
        <f aca="false">IF(ISNUMBER(BG13),BG13,"")</f>
        <v>41970711686400</v>
      </c>
      <c r="N13" s="29" t="n">
        <f aca="false">IF(ISNUMBER(M13),LN(2)/M13,0)</f>
        <v>1.65150208969306E-014</v>
      </c>
      <c r="O13" s="31" t="n">
        <f aca="false">10^-24</f>
        <v>1E-024</v>
      </c>
      <c r="P13" s="31" t="n">
        <f aca="false">PI()*$K$97^2*$K$98</f>
        <v>13978830.6714131</v>
      </c>
      <c r="Q13" s="32" t="n">
        <f aca="false">E13/O13</f>
        <v>2.74688E+019</v>
      </c>
      <c r="R13" s="32" t="n">
        <f aca="false">Q13*P13</f>
        <v>3.83981703946913E+026</v>
      </c>
      <c r="S13" s="43" t="n">
        <f aca="false">R13*N13</f>
        <v>6341465864722.29</v>
      </c>
      <c r="T13" s="44" t="n">
        <f aca="false">S13*0.000000000027</f>
        <v>171.219578347502</v>
      </c>
      <c r="U13" s="45" t="str">
        <f aca="false">D13</f>
        <v>Cs, Rb</v>
      </c>
      <c r="V13" s="56" t="n">
        <v>3E-005</v>
      </c>
      <c r="W13" s="56" t="n">
        <v>8E-005</v>
      </c>
      <c r="X13" s="57" t="n">
        <v>1</v>
      </c>
      <c r="Y13" s="57" t="n">
        <v>1</v>
      </c>
      <c r="Z13" s="57" t="n">
        <v>1</v>
      </c>
      <c r="AA13" s="57" t="n">
        <v>1</v>
      </c>
      <c r="AB13" s="57" t="n">
        <f aca="false">10^7</f>
        <v>10000000</v>
      </c>
      <c r="AC13" s="57" t="n">
        <f aca="false">2000000</f>
        <v>2000000</v>
      </c>
      <c r="AD13" s="57" t="n">
        <v>10</v>
      </c>
      <c r="AE13" s="57" t="n">
        <v>3</v>
      </c>
      <c r="AF13" s="58" t="n">
        <v>100</v>
      </c>
      <c r="AG13" s="58" t="n">
        <v>100</v>
      </c>
      <c r="AH13" s="57" t="n">
        <v>10</v>
      </c>
      <c r="AI13" s="57" t="n">
        <v>2</v>
      </c>
      <c r="AJ13" s="49" t="n">
        <f aca="false">$S13*(1/X13)*(1/Z13)*(1/AB13)*(1/AD13)*(1/AF13)*(1/AH13)</f>
        <v>63.4146586472229</v>
      </c>
      <c r="AK13" s="49" t="n">
        <f aca="false">$S13*(1/Y13)*(1/AA13)*(1/AC13)*(1/AE13)*(1/AG13)*(1/AI13)</f>
        <v>5284.55488726858</v>
      </c>
      <c r="AL13" s="49" t="n">
        <f aca="false">AK13*0.000000000027</f>
        <v>1.42682981956252E-007</v>
      </c>
      <c r="AM13" s="49" t="str">
        <f aca="false">B13</f>
        <v>Cs-135</v>
      </c>
      <c r="AO13" s="50" t="n">
        <f aca="false">$S13</f>
        <v>6341465864722.29</v>
      </c>
      <c r="AP13" s="50" t="n">
        <f aca="false">$S13*(1/X13)</f>
        <v>6341465864722.29</v>
      </c>
      <c r="AQ13" s="50" t="n">
        <f aca="false">$S13*(1/X13)*(1/Z13)</f>
        <v>6341465864722.29</v>
      </c>
      <c r="AR13" s="50" t="n">
        <f aca="false">$S13*(1/X13)*(1/Z13)*(1/AB13)</f>
        <v>634146.586472229</v>
      </c>
      <c r="AS13" s="50" t="n">
        <f aca="false">$S13*(1/X13)*(1/Z13)*(1/AB13)*(1/AD13)</f>
        <v>63414.6586472229</v>
      </c>
      <c r="AT13" s="51" t="n">
        <f aca="false">$S13*(1/X13)*(1/Z13)*(1/AB13)*(1/AD13)*(1/AF13)</f>
        <v>634.146586472229</v>
      </c>
      <c r="AU13" s="50" t="n">
        <f aca="false">$S13*(1/X13)*(1/Z13)*(1/AB13)*(1/AD13)*(1/AF13)*(1/AH13)</f>
        <v>63.4146586472229</v>
      </c>
      <c r="AX13" s="50" t="n">
        <f aca="false">AO13</f>
        <v>6341465864722.29</v>
      </c>
      <c r="AY13" s="50" t="n">
        <f aca="false">AX13*(1/Y13)</f>
        <v>6341465864722.29</v>
      </c>
      <c r="AZ13" s="50" t="n">
        <f aca="false">AY13*(1/AA13)</f>
        <v>6341465864722.29</v>
      </c>
      <c r="BA13" s="50" t="n">
        <f aca="false">AZ13*(1/AC13)</f>
        <v>3170732.93236115</v>
      </c>
      <c r="BB13" s="50" t="n">
        <f aca="false">BA13*(1/AE13)</f>
        <v>1056910.97745372</v>
      </c>
      <c r="BC13" s="50" t="n">
        <f aca="false">BB13*(1/AG13)</f>
        <v>10569.1097745372</v>
      </c>
      <c r="BD13" s="50" t="n">
        <f aca="false">BC13*(1/AI13)</f>
        <v>5284.55488726858</v>
      </c>
      <c r="BF13" s="36" t="s">
        <v>78</v>
      </c>
      <c r="BG13" s="0" t="n">
        <v>41970711686400</v>
      </c>
    </row>
    <row r="14" customFormat="false" ht="15" hidden="true" customHeight="true" outlineLevel="0" collapsed="false">
      <c r="B14" s="22" t="s">
        <v>79</v>
      </c>
      <c r="C14" s="23" t="n">
        <v>39089</v>
      </c>
      <c r="D14" s="23"/>
      <c r="E14" s="37" t="n">
        <v>7.85848E-005</v>
      </c>
      <c r="F14" s="37"/>
      <c r="G14" s="37" t="s">
        <v>53</v>
      </c>
      <c r="H14" s="25" t="s">
        <v>53</v>
      </c>
      <c r="I14" s="26"/>
      <c r="J14" s="27"/>
      <c r="K14" s="28"/>
      <c r="L14" s="28"/>
      <c r="M14" s="29" t="str">
        <f aca="false">IF(ISNUMBER(BG14),BG14,"")</f>
        <v/>
      </c>
      <c r="N14" s="30" t="n">
        <f aca="false">IF(ISNUMBER(M14),LN(2)/M14,0)</f>
        <v>0</v>
      </c>
      <c r="O14" s="31" t="n">
        <f aca="false">10^-24</f>
        <v>1E-024</v>
      </c>
      <c r="P14" s="31" t="n">
        <f aca="false">PI()*$K$97^2*$K$98</f>
        <v>13978830.6714131</v>
      </c>
      <c r="Q14" s="32" t="n">
        <f aca="false">E14/O14</f>
        <v>7.85848E+019</v>
      </c>
      <c r="R14" s="32" t="n">
        <f aca="false">Q14*P14</f>
        <v>1.09852361254687E+027</v>
      </c>
      <c r="S14" s="32" t="n">
        <f aca="false">R14*N14</f>
        <v>0</v>
      </c>
      <c r="T14" s="32"/>
      <c r="U14" s="32"/>
      <c r="V14" s="54"/>
      <c r="W14" s="54"/>
      <c r="X14" s="55" t="n">
        <v>0.01</v>
      </c>
      <c r="Y14" s="55"/>
      <c r="Z14" s="55" t="n">
        <v>0.999</v>
      </c>
      <c r="AA14" s="55"/>
      <c r="AB14" s="55"/>
      <c r="AC14" s="55"/>
      <c r="AD14" s="55"/>
      <c r="AE14" s="55"/>
      <c r="AF14" s="55"/>
      <c r="AG14" s="55"/>
      <c r="AH14" s="55"/>
      <c r="AI14" s="55"/>
      <c r="AJ14" s="54" t="n">
        <f aca="false">S14*X14*(1-Z14)</f>
        <v>0</v>
      </c>
      <c r="AK14" s="35"/>
      <c r="AL14" s="35"/>
      <c r="AM14" s="35"/>
      <c r="BF14" s="36" t="s">
        <v>54</v>
      </c>
    </row>
    <row r="15" customFormat="false" ht="14.25" hidden="false" customHeight="true" outlineLevel="0" collapsed="false">
      <c r="B15" s="22" t="s">
        <v>80</v>
      </c>
      <c r="C15" s="23" t="n">
        <v>55137</v>
      </c>
      <c r="D15" s="23" t="s">
        <v>69</v>
      </c>
      <c r="E15" s="37" t="n">
        <v>0.000156865</v>
      </c>
      <c r="F15" s="37" t="s">
        <v>81</v>
      </c>
      <c r="G15" s="37" t="s">
        <v>82</v>
      </c>
      <c r="H15" s="41" t="s">
        <v>82</v>
      </c>
      <c r="I15" s="42" t="n">
        <v>30.17</v>
      </c>
      <c r="J15" s="27"/>
      <c r="K15" s="28"/>
      <c r="L15" s="28"/>
      <c r="M15" s="29" t="n">
        <f aca="false">IF(ISNUMBER(BG15),BG15,"")</f>
        <v>947970059.4432</v>
      </c>
      <c r="N15" s="29" t="n">
        <f aca="false">IF(ISNUMBER(M15),LN(2)/M15,0)</f>
        <v>7.31191005090469E-010</v>
      </c>
      <c r="O15" s="31" t="n">
        <f aca="false">10^-24</f>
        <v>1E-024</v>
      </c>
      <c r="P15" s="31" t="n">
        <f aca="false">PI()*$K$97^2*$K$98</f>
        <v>13978830.6714131</v>
      </c>
      <c r="Q15" s="32" t="n">
        <f aca="false">E15/O15</f>
        <v>1.56865E+020</v>
      </c>
      <c r="R15" s="32" t="n">
        <f aca="false">Q15*P15</f>
        <v>2.19278927327122E+027</v>
      </c>
      <c r="S15" s="43" t="n">
        <f aca="false">R15*N15</f>
        <v>1.60334779267479E+018</v>
      </c>
      <c r="T15" s="44" t="n">
        <f aca="false">S15*0.000000000027</f>
        <v>43290390.4022192</v>
      </c>
      <c r="U15" s="45" t="str">
        <f aca="false">D15</f>
        <v>Cs, Rb</v>
      </c>
      <c r="V15" s="56" t="n">
        <v>3E-005</v>
      </c>
      <c r="W15" s="56" t="n">
        <v>8E-005</v>
      </c>
      <c r="X15" s="57" t="n">
        <v>1</v>
      </c>
      <c r="Y15" s="57" t="n">
        <v>1</v>
      </c>
      <c r="Z15" s="57" t="n">
        <v>1</v>
      </c>
      <c r="AA15" s="57" t="n">
        <v>1</v>
      </c>
      <c r="AB15" s="57" t="n">
        <f aca="false">10^7</f>
        <v>10000000</v>
      </c>
      <c r="AC15" s="57" t="n">
        <f aca="false">2000000</f>
        <v>2000000</v>
      </c>
      <c r="AD15" s="57" t="n">
        <v>10</v>
      </c>
      <c r="AE15" s="57" t="n">
        <v>3</v>
      </c>
      <c r="AF15" s="58" t="n">
        <v>100</v>
      </c>
      <c r="AG15" s="58" t="n">
        <v>100</v>
      </c>
      <c r="AH15" s="57" t="n">
        <v>10</v>
      </c>
      <c r="AI15" s="57" t="n">
        <v>2</v>
      </c>
      <c r="AJ15" s="49" t="n">
        <f aca="false">$S15*(1/X15)*(1/Z15)*(1/AB15)*(1/AD15)*(1/AF15)*(1/AH15)</f>
        <v>16033477.9267479</v>
      </c>
      <c r="AK15" s="49" t="n">
        <f aca="false">$S15*(1/Y15)*(1/AA15)*(1/AC15)*(1/AE15)*(1/AG15)*(1/AI15)</f>
        <v>1336123160.56232</v>
      </c>
      <c r="AL15" s="49" t="n">
        <f aca="false">AK15*0.000000000027</f>
        <v>0.0360753253351827</v>
      </c>
      <c r="AM15" s="49" t="str">
        <f aca="false">B15</f>
        <v>Cs-137</v>
      </c>
      <c r="AO15" s="50" t="n">
        <f aca="false">$S15</f>
        <v>1.60334779267479E+018</v>
      </c>
      <c r="AP15" s="50" t="n">
        <f aca="false">$S15*(1/X15)</f>
        <v>1.60334779267479E+018</v>
      </c>
      <c r="AQ15" s="50" t="n">
        <f aca="false">$S15*(1/X15)*(1/Z15)</f>
        <v>1.60334779267479E+018</v>
      </c>
      <c r="AR15" s="50" t="n">
        <f aca="false">$S15*(1/X15)*(1/Z15)*(1/AB15)</f>
        <v>160334779267.479</v>
      </c>
      <c r="AS15" s="50" t="n">
        <f aca="false">$S15*(1/X15)*(1/Z15)*(1/AB15)*(1/AD15)</f>
        <v>16033477926.7479</v>
      </c>
      <c r="AT15" s="51" t="n">
        <f aca="false">$S15*(1/X15)*(1/Z15)*(1/AB15)*(1/AD15)*(1/AF15)</f>
        <v>160334779.267479</v>
      </c>
      <c r="AU15" s="50" t="n">
        <f aca="false">$S15*(1/X15)*(1/Z15)*(1/AB15)*(1/AD15)*(1/AF15)*(1/AH15)</f>
        <v>16033477.9267479</v>
      </c>
      <c r="AX15" s="50" t="n">
        <f aca="false">AO15</f>
        <v>1.60334779267479E+018</v>
      </c>
      <c r="AY15" s="50" t="n">
        <f aca="false">AX15*(1/Y15)</f>
        <v>1.60334779267479E+018</v>
      </c>
      <c r="AZ15" s="50" t="n">
        <f aca="false">AY15*(1/AA15)</f>
        <v>1.60334779267479E+018</v>
      </c>
      <c r="BA15" s="50" t="n">
        <f aca="false">AZ15*(1/AC15)</f>
        <v>801673896337.393</v>
      </c>
      <c r="BB15" s="50" t="n">
        <f aca="false">BA15*(1/AE15)</f>
        <v>267224632112.464</v>
      </c>
      <c r="BC15" s="50" t="n">
        <f aca="false">BB15*(1/AG15)</f>
        <v>2672246321.12464</v>
      </c>
      <c r="BD15" s="50" t="n">
        <f aca="false">BC15*(1/AI15)</f>
        <v>1336123160.56232</v>
      </c>
      <c r="BF15" s="36" t="s">
        <v>83</v>
      </c>
      <c r="BG15" s="0" t="n">
        <v>947970059.4432</v>
      </c>
    </row>
    <row r="16" customFormat="false" ht="15" hidden="true" customHeight="true" outlineLevel="0" collapsed="false">
      <c r="B16" s="22" t="s">
        <v>84</v>
      </c>
      <c r="C16" s="23" t="n">
        <v>40091</v>
      </c>
      <c r="D16" s="23"/>
      <c r="E16" s="37" t="n">
        <v>9.39238E-005</v>
      </c>
      <c r="F16" s="37"/>
      <c r="G16" s="37" t="s">
        <v>53</v>
      </c>
      <c r="H16" s="25" t="s">
        <v>53</v>
      </c>
      <c r="I16" s="26"/>
      <c r="J16" s="27"/>
      <c r="K16" s="28"/>
      <c r="L16" s="28"/>
      <c r="M16" s="29" t="str">
        <f aca="false">IF(ISNUMBER(BG16),BG16,"")</f>
        <v/>
      </c>
      <c r="N16" s="30" t="n">
        <f aca="false">IF(ISNUMBER(M16),LN(2)/M16,0)</f>
        <v>0</v>
      </c>
      <c r="O16" s="31" t="n">
        <f aca="false">10^-24</f>
        <v>1E-024</v>
      </c>
      <c r="P16" s="31" t="n">
        <f aca="false">PI()*$K$97^2*$K$98</f>
        <v>13978830.6714131</v>
      </c>
      <c r="Q16" s="32" t="n">
        <f aca="false">E16/O16</f>
        <v>9.39238E+019</v>
      </c>
      <c r="R16" s="32" t="n">
        <f aca="false">Q16*P16</f>
        <v>1.31294489621567E+027</v>
      </c>
      <c r="S16" s="32" t="n">
        <f aca="false">R16*N16</f>
        <v>0</v>
      </c>
      <c r="T16" s="32"/>
      <c r="U16" s="32"/>
      <c r="V16" s="33"/>
      <c r="W16" s="33"/>
      <c r="X16" s="34" t="n">
        <v>0.01</v>
      </c>
      <c r="Y16" s="34"/>
      <c r="Z16" s="34" t="n">
        <v>0.999</v>
      </c>
      <c r="AA16" s="34"/>
      <c r="AB16" s="34"/>
      <c r="AC16" s="34"/>
      <c r="AD16" s="34"/>
      <c r="AE16" s="34"/>
      <c r="AF16" s="34"/>
      <c r="AG16" s="34"/>
      <c r="AH16" s="34"/>
      <c r="AI16" s="34"/>
      <c r="AJ16" s="33" t="n">
        <f aca="false">S16*X16*(1-Z16)</f>
        <v>0</v>
      </c>
      <c r="AK16" s="35"/>
      <c r="AL16" s="35"/>
      <c r="AM16" s="35"/>
      <c r="BF16" s="36" t="s">
        <v>54</v>
      </c>
    </row>
    <row r="17" customFormat="false" ht="15" hidden="true" customHeight="true" outlineLevel="0" collapsed="false">
      <c r="B17" s="22" t="s">
        <v>85</v>
      </c>
      <c r="C17" s="23" t="n">
        <v>40092</v>
      </c>
      <c r="D17" s="23"/>
      <c r="E17" s="37" t="n">
        <v>0.000134476</v>
      </c>
      <c r="F17" s="37"/>
      <c r="G17" s="37" t="s">
        <v>53</v>
      </c>
      <c r="H17" s="25" t="s">
        <v>53</v>
      </c>
      <c r="I17" s="26"/>
      <c r="J17" s="27"/>
      <c r="K17" s="28"/>
      <c r="L17" s="28"/>
      <c r="M17" s="29" t="str">
        <f aca="false">IF(ISNUMBER(BG17),BG17,"")</f>
        <v/>
      </c>
      <c r="N17" s="30" t="n">
        <f aca="false">IF(ISNUMBER(M17),LN(2)/M17,0)</f>
        <v>0</v>
      </c>
      <c r="O17" s="31" t="n">
        <f aca="false">10^-24</f>
        <v>1E-024</v>
      </c>
      <c r="P17" s="31" t="n">
        <f aca="false">PI()*$K$97^2*$K$98</f>
        <v>13978830.6714131</v>
      </c>
      <c r="Q17" s="32" t="n">
        <f aca="false">E17/O17</f>
        <v>1.34476E+020</v>
      </c>
      <c r="R17" s="32" t="n">
        <f aca="false">Q17*P17</f>
        <v>1.87981723336895E+027</v>
      </c>
      <c r="S17" s="32" t="n">
        <f aca="false">R17*N17</f>
        <v>0</v>
      </c>
      <c r="T17" s="32"/>
      <c r="U17" s="32"/>
      <c r="V17" s="39"/>
      <c r="W17" s="39"/>
      <c r="X17" s="40" t="n">
        <v>0.01</v>
      </c>
      <c r="Y17" s="40"/>
      <c r="Z17" s="40" t="n">
        <v>0.999</v>
      </c>
      <c r="AA17" s="40"/>
      <c r="AB17" s="40"/>
      <c r="AC17" s="40"/>
      <c r="AD17" s="40"/>
      <c r="AE17" s="40"/>
      <c r="AF17" s="40"/>
      <c r="AG17" s="40"/>
      <c r="AH17" s="40"/>
      <c r="AI17" s="40"/>
      <c r="AJ17" s="39" t="n">
        <f aca="false">S17*X17*(1-Z17)</f>
        <v>0</v>
      </c>
      <c r="AK17" s="35"/>
      <c r="AL17" s="35"/>
      <c r="AM17" s="35"/>
      <c r="BF17" s="36" t="s">
        <v>54</v>
      </c>
    </row>
    <row r="18" customFormat="false" ht="14.25" hidden="false" customHeight="true" outlineLevel="0" collapsed="false">
      <c r="B18" s="22" t="s">
        <v>86</v>
      </c>
      <c r="C18" s="23" t="n">
        <v>54133</v>
      </c>
      <c r="D18" s="23" t="s">
        <v>87</v>
      </c>
      <c r="E18" s="37" t="n">
        <v>5.19994E-006</v>
      </c>
      <c r="F18" s="37" t="s">
        <v>88</v>
      </c>
      <c r="G18" s="37" t="s">
        <v>89</v>
      </c>
      <c r="H18" s="22" t="s">
        <v>90</v>
      </c>
      <c r="I18" s="26"/>
      <c r="J18" s="27" t="n">
        <v>5.25</v>
      </c>
      <c r="K18" s="28"/>
      <c r="L18" s="28"/>
      <c r="M18" s="29" t="n">
        <f aca="false">IF(ISNUMBER(BG18),BG18,"")</f>
        <v>453375.36</v>
      </c>
      <c r="N18" s="29" t="n">
        <f aca="false">IF(ISNUMBER(M18),LN(2)/M18,0)</f>
        <v>1.52885939932851E-006</v>
      </c>
      <c r="O18" s="31" t="n">
        <f aca="false">10^-24</f>
        <v>1E-024</v>
      </c>
      <c r="P18" s="31" t="n">
        <f aca="false">PI()*$K$97^2*$K$98</f>
        <v>13978830.6714131</v>
      </c>
      <c r="Q18" s="32" t="n">
        <f aca="false">E18/O18</f>
        <v>5.19994E+018</v>
      </c>
      <c r="R18" s="32" t="n">
        <f aca="false">Q18*P18</f>
        <v>7.26890807615081E+025</v>
      </c>
      <c r="S18" s="43" t="n">
        <f aca="false">R18*N18</f>
        <v>1.11131384350781E+020</v>
      </c>
      <c r="T18" s="44" t="n">
        <f aca="false">S18*0.000000000027</f>
        <v>3000547377.47107</v>
      </c>
      <c r="U18" s="45" t="str">
        <f aca="false">D18</f>
        <v>Gases nobles</v>
      </c>
      <c r="V18" s="46" t="n">
        <v>3E-005</v>
      </c>
      <c r="W18" s="46" t="n">
        <v>8E-005</v>
      </c>
      <c r="X18" s="38" t="n">
        <v>2</v>
      </c>
      <c r="Y18" s="38" t="n">
        <v>1</v>
      </c>
      <c r="Z18" s="38" t="n">
        <v>10</v>
      </c>
      <c r="AA18" s="38" t="n">
        <v>5</v>
      </c>
      <c r="AB18" s="38" t="n">
        <v>10000000</v>
      </c>
      <c r="AC18" s="38" t="n">
        <v>2000000</v>
      </c>
      <c r="AD18" s="38" t="n">
        <v>1</v>
      </c>
      <c r="AE18" s="38" t="n">
        <v>1</v>
      </c>
      <c r="AF18" s="48" t="n">
        <v>100</v>
      </c>
      <c r="AG18" s="48" t="n">
        <v>100</v>
      </c>
      <c r="AH18" s="38" t="n">
        <v>1</v>
      </c>
      <c r="AI18" s="38" t="n">
        <v>1</v>
      </c>
      <c r="AJ18" s="49" t="n">
        <f aca="false">$S18*(1/X18)*(1/Z18)*(1/AB18)*(1/AD18)*(1/AF18)*(1/AH18)</f>
        <v>5556569217.53903</v>
      </c>
      <c r="AK18" s="49" t="n">
        <f aca="false">$S18*(1/Y18)*(1/AA18)*(1/AC18)*(1/AE18)*(1/AG18)*(1/AI18)</f>
        <v>111131384350.781</v>
      </c>
      <c r="AL18" s="49" t="n">
        <f aca="false">AK18*0.000000000027</f>
        <v>3.00054737747107</v>
      </c>
      <c r="AM18" s="49" t="str">
        <f aca="false">B18</f>
        <v>Xe-133</v>
      </c>
      <c r="AO18" s="50" t="n">
        <f aca="false">$S18</f>
        <v>1.11131384350781E+020</v>
      </c>
      <c r="AP18" s="50" t="n">
        <f aca="false">$S18*(1/X18)</f>
        <v>5.55656921753903E+019</v>
      </c>
      <c r="AQ18" s="50" t="n">
        <f aca="false">$S18*(1/X18)*(1/Z18)</f>
        <v>5.55656921753903E+018</v>
      </c>
      <c r="AR18" s="50" t="n">
        <f aca="false">$S18*(1/X18)*(1/Z18)*(1/AB18)</f>
        <v>555656921753.903</v>
      </c>
      <c r="AS18" s="50" t="n">
        <f aca="false">$S18*(1/X18)*(1/Z18)*(1/AB18)*(1/AD18)</f>
        <v>555656921753.903</v>
      </c>
      <c r="AT18" s="51" t="n">
        <f aca="false">$S18*(1/X18)*(1/Z18)*(1/AB18)*(1/AD18)*(1/AF18)</f>
        <v>5556569217.53903</v>
      </c>
      <c r="AU18" s="50" t="n">
        <f aca="false">$S18*(1/X18)*(1/Z18)*(1/AB18)*(1/AD18)*(1/AF18)*(1/AH18)</f>
        <v>5556569217.53903</v>
      </c>
      <c r="AX18" s="50" t="n">
        <f aca="false">AO18</f>
        <v>1.11131384350781E+020</v>
      </c>
      <c r="AY18" s="50" t="n">
        <f aca="false">AX18*(1/Y18)</f>
        <v>1.11131384350781E+020</v>
      </c>
      <c r="AZ18" s="50" t="n">
        <f aca="false">AY18*(1/AA18)</f>
        <v>2.22262768701561E+019</v>
      </c>
      <c r="BA18" s="50" t="n">
        <f aca="false">AZ18*(1/AC18)</f>
        <v>11113138435078.1</v>
      </c>
      <c r="BB18" s="50" t="n">
        <f aca="false">BA18*(1/AE18)</f>
        <v>11113138435078.1</v>
      </c>
      <c r="BC18" s="50" t="n">
        <f aca="false">BB18*(1/AG18)</f>
        <v>111131384350.781</v>
      </c>
      <c r="BD18" s="50" t="n">
        <f aca="false">BC18*(1/AI18)</f>
        <v>111131384350.781</v>
      </c>
      <c r="BF18" s="36" t="s">
        <v>91</v>
      </c>
      <c r="BG18" s="0" t="n">
        <v>453375.36</v>
      </c>
    </row>
    <row r="19" customFormat="false" ht="15" hidden="true" customHeight="true" outlineLevel="0" collapsed="false">
      <c r="B19" s="22" t="s">
        <v>92</v>
      </c>
      <c r="C19" s="23" t="n">
        <v>40094</v>
      </c>
      <c r="D19" s="23"/>
      <c r="E19" s="37" t="n">
        <v>0.000151425</v>
      </c>
      <c r="F19" s="37"/>
      <c r="G19" s="37" t="s">
        <v>53</v>
      </c>
      <c r="H19" s="25" t="s">
        <v>53</v>
      </c>
      <c r="I19" s="26"/>
      <c r="J19" s="27"/>
      <c r="K19" s="28"/>
      <c r="L19" s="28"/>
      <c r="M19" s="29" t="str">
        <f aca="false">IF(ISNUMBER(BG19),BG19,"")</f>
        <v/>
      </c>
      <c r="N19" s="30" t="n">
        <f aca="false">IF(ISNUMBER(M19),LN(2)/M19,0)</f>
        <v>0</v>
      </c>
      <c r="O19" s="31" t="n">
        <f aca="false">10^-24</f>
        <v>1E-024</v>
      </c>
      <c r="P19" s="31" t="n">
        <f aca="false">PI()*$K$97^2*$K$98</f>
        <v>13978830.6714131</v>
      </c>
      <c r="Q19" s="32" t="n">
        <f aca="false">E19/O19</f>
        <v>1.51425E+020</v>
      </c>
      <c r="R19" s="32" t="n">
        <f aca="false">Q19*P19</f>
        <v>2.11674443441874E+027</v>
      </c>
      <c r="S19" s="32" t="n">
        <f aca="false">R19*N19</f>
        <v>0</v>
      </c>
      <c r="T19" s="32"/>
      <c r="U19" s="32"/>
      <c r="V19" s="54"/>
      <c r="W19" s="54"/>
      <c r="X19" s="55" t="n">
        <v>0.01</v>
      </c>
      <c r="Y19" s="55"/>
      <c r="Z19" s="55" t="n">
        <v>0.999</v>
      </c>
      <c r="AA19" s="55"/>
      <c r="AB19" s="55"/>
      <c r="AC19" s="55"/>
      <c r="AD19" s="55"/>
      <c r="AE19" s="55"/>
      <c r="AF19" s="55"/>
      <c r="AG19" s="55"/>
      <c r="AH19" s="55"/>
      <c r="AI19" s="55"/>
      <c r="AJ19" s="54" t="n">
        <f aca="false">S19*X19*(1-Z19)</f>
        <v>0</v>
      </c>
      <c r="AK19" s="35"/>
      <c r="AL19" s="35"/>
      <c r="AM19" s="35"/>
      <c r="BF19" s="36" t="s">
        <v>54</v>
      </c>
    </row>
    <row r="20" customFormat="false" ht="14.25" hidden="false" customHeight="true" outlineLevel="0" collapsed="false">
      <c r="B20" s="22" t="s">
        <v>93</v>
      </c>
      <c r="C20" s="23" t="n">
        <v>54135</v>
      </c>
      <c r="D20" s="23" t="s">
        <v>87</v>
      </c>
      <c r="E20" s="37" t="n">
        <v>5.29262E-008</v>
      </c>
      <c r="F20" s="37" t="s">
        <v>94</v>
      </c>
      <c r="G20" s="37" t="s">
        <v>95</v>
      </c>
      <c r="H20" s="41" t="s">
        <v>95</v>
      </c>
      <c r="I20" s="42"/>
      <c r="J20" s="27"/>
      <c r="K20" s="28" t="n">
        <v>9.14</v>
      </c>
      <c r="L20" s="28"/>
      <c r="M20" s="29" t="n">
        <f aca="false">IF(ISNUMBER(BG20),BG20,"")</f>
        <v>32904</v>
      </c>
      <c r="N20" s="29" t="n">
        <f aca="false">IF(ISNUMBER(M20),LN(2)/M20,0)</f>
        <v>2.10657421760256E-005</v>
      </c>
      <c r="O20" s="31" t="n">
        <f aca="false">10^-24</f>
        <v>1E-024</v>
      </c>
      <c r="P20" s="31" t="n">
        <f aca="false">PI()*$K$97^2*$K$98</f>
        <v>13978830.6714131</v>
      </c>
      <c r="Q20" s="32" t="n">
        <f aca="false">E20/O20</f>
        <v>52926200000000000</v>
      </c>
      <c r="R20" s="32" t="n">
        <f aca="false">Q20*P20</f>
        <v>7.39846387881346E+023</v>
      </c>
      <c r="S20" s="43" t="n">
        <f aca="false">R20*N20</f>
        <v>1.55854132569723E+019</v>
      </c>
      <c r="T20" s="44" t="n">
        <f aca="false">S20*0.000000000027</f>
        <v>420806157.938251</v>
      </c>
      <c r="U20" s="45" t="str">
        <f aca="false">D20</f>
        <v>Gases nobles</v>
      </c>
      <c r="V20" s="46" t="n">
        <v>3E-005</v>
      </c>
      <c r="W20" s="46" t="n">
        <v>8E-005</v>
      </c>
      <c r="X20" s="38" t="n">
        <v>2</v>
      </c>
      <c r="Y20" s="38" t="n">
        <v>1</v>
      </c>
      <c r="Z20" s="38" t="n">
        <v>10</v>
      </c>
      <c r="AA20" s="38" t="n">
        <v>5</v>
      </c>
      <c r="AB20" s="38" t="n">
        <v>10000000</v>
      </c>
      <c r="AC20" s="38" t="n">
        <v>2000000</v>
      </c>
      <c r="AD20" s="38" t="n">
        <v>1</v>
      </c>
      <c r="AE20" s="38" t="n">
        <v>1</v>
      </c>
      <c r="AF20" s="48" t="n">
        <v>100</v>
      </c>
      <c r="AG20" s="48" t="n">
        <v>100</v>
      </c>
      <c r="AH20" s="38" t="n">
        <v>1</v>
      </c>
      <c r="AI20" s="38" t="n">
        <v>1</v>
      </c>
      <c r="AJ20" s="49" t="n">
        <f aca="false">$S20*(1/X20)*(1/Z20)*(1/AB20)*(1/AD20)*(1/AF20)*(1/AH20)</f>
        <v>779270662.848613</v>
      </c>
      <c r="AK20" s="49" t="n">
        <f aca="false">$S20*(1/Y20)*(1/AA20)*(1/AC20)*(1/AE20)*(1/AG20)*(1/AI20)</f>
        <v>15585413256.9723</v>
      </c>
      <c r="AL20" s="49" t="n">
        <f aca="false">AK20*0.000000000027</f>
        <v>0.420806157938251</v>
      </c>
      <c r="AM20" s="49" t="str">
        <f aca="false">B20</f>
        <v>Xe-135</v>
      </c>
      <c r="AO20" s="50" t="n">
        <f aca="false">$S20</f>
        <v>1.55854132569723E+019</v>
      </c>
      <c r="AP20" s="50" t="n">
        <f aca="false">$S20*(1/X20)</f>
        <v>7.79270662848613E+018</v>
      </c>
      <c r="AQ20" s="50" t="n">
        <f aca="false">$S20*(1/X20)*(1/Z20)</f>
        <v>7.79270662848613E+017</v>
      </c>
      <c r="AR20" s="50" t="n">
        <f aca="false">$S20*(1/X20)*(1/Z20)*(1/AB20)</f>
        <v>77927066284.8613</v>
      </c>
      <c r="AS20" s="50" t="n">
        <f aca="false">$S20*(1/X20)*(1/Z20)*(1/AB20)*(1/AD20)</f>
        <v>77927066284.8613</v>
      </c>
      <c r="AT20" s="51" t="n">
        <f aca="false">$S20*(1/X20)*(1/Z20)*(1/AB20)*(1/AD20)*(1/AF20)</f>
        <v>779270662.848613</v>
      </c>
      <c r="AU20" s="50" t="n">
        <f aca="false">$S20*(1/X20)*(1/Z20)*(1/AB20)*(1/AD20)*(1/AF20)*(1/AH20)</f>
        <v>779270662.848613</v>
      </c>
      <c r="AX20" s="50" t="n">
        <f aca="false">AO20</f>
        <v>1.55854132569723E+019</v>
      </c>
      <c r="AY20" s="50" t="n">
        <f aca="false">AX20*(1/Y20)</f>
        <v>1.55854132569723E+019</v>
      </c>
      <c r="AZ20" s="50" t="n">
        <f aca="false">AY20*(1/AA20)</f>
        <v>3.11708265139445E+018</v>
      </c>
      <c r="BA20" s="50" t="n">
        <f aca="false">AZ20*(1/AC20)</f>
        <v>1558541325697.23</v>
      </c>
      <c r="BB20" s="50" t="n">
        <f aca="false">BA20*(1/AE20)</f>
        <v>1558541325697.23</v>
      </c>
      <c r="BC20" s="50" t="n">
        <f aca="false">BB20*(1/AG20)</f>
        <v>15585413256.9723</v>
      </c>
      <c r="BD20" s="50" t="n">
        <f aca="false">BC20*(1/AI20)</f>
        <v>15585413256.9723</v>
      </c>
      <c r="BF20" s="36" t="s">
        <v>94</v>
      </c>
      <c r="BG20" s="0" t="n">
        <v>32904</v>
      </c>
    </row>
    <row r="21" customFormat="false" ht="15.75" hidden="true" customHeight="true" outlineLevel="0" collapsed="false">
      <c r="B21" s="22" t="s">
        <v>96</v>
      </c>
      <c r="C21" s="23" t="n">
        <v>40096</v>
      </c>
      <c r="D21" s="23"/>
      <c r="E21" s="37" t="n">
        <v>0.000151236</v>
      </c>
      <c r="F21" s="37"/>
      <c r="G21" s="37" t="s">
        <v>53</v>
      </c>
      <c r="H21" s="25" t="s">
        <v>53</v>
      </c>
      <c r="I21" s="26"/>
      <c r="J21" s="27"/>
      <c r="K21" s="28"/>
      <c r="L21" s="28"/>
      <c r="M21" s="29" t="str">
        <f aca="false">IF(ISNUMBER(BG21),BG21,"")</f>
        <v/>
      </c>
      <c r="N21" s="30" t="n">
        <f aca="false">IF(ISNUMBER(M21),LN(2)/M21,0)</f>
        <v>0</v>
      </c>
      <c r="O21" s="31" t="n">
        <f aca="false">10^-24</f>
        <v>1E-024</v>
      </c>
      <c r="P21" s="31" t="n">
        <f aca="false">PI()*$K$97^2*$K$98</f>
        <v>13978830.6714131</v>
      </c>
      <c r="Q21" s="32" t="n">
        <f aca="false">E21/O21</f>
        <v>1.51236E+020</v>
      </c>
      <c r="R21" s="32" t="n">
        <f aca="false">Q21*P21</f>
        <v>2.11410243542184E+027</v>
      </c>
      <c r="S21" s="32" t="n">
        <f aca="false">R21*N21</f>
        <v>0</v>
      </c>
      <c r="T21" s="32"/>
      <c r="U21" s="32"/>
      <c r="V21" s="54"/>
      <c r="W21" s="54"/>
      <c r="X21" s="55" t="n">
        <v>0.01</v>
      </c>
      <c r="Y21" s="55"/>
      <c r="Z21" s="55" t="n">
        <v>0.999</v>
      </c>
      <c r="AA21" s="55"/>
      <c r="AB21" s="55"/>
      <c r="AC21" s="55"/>
      <c r="AD21" s="55"/>
      <c r="AE21" s="55"/>
      <c r="AF21" s="55"/>
      <c r="AG21" s="55"/>
      <c r="AH21" s="55"/>
      <c r="AI21" s="55"/>
      <c r="AJ21" s="54" t="n">
        <f aca="false">S21*X21*(1-Z21)</f>
        <v>0</v>
      </c>
      <c r="AK21" s="35"/>
      <c r="AL21" s="35"/>
      <c r="AM21" s="35"/>
      <c r="BF21" s="36" t="s">
        <v>97</v>
      </c>
    </row>
    <row r="22" customFormat="false" ht="15.75" hidden="false" customHeight="true" outlineLevel="0" collapsed="false">
      <c r="B22" s="22" t="s">
        <v>98</v>
      </c>
      <c r="C22" s="23" t="n">
        <v>53129</v>
      </c>
      <c r="D22" s="23" t="s">
        <v>99</v>
      </c>
      <c r="E22" s="37" t="n">
        <v>1.74196E-005</v>
      </c>
      <c r="F22" s="37" t="s">
        <v>100</v>
      </c>
      <c r="G22" s="37" t="s">
        <v>101</v>
      </c>
      <c r="H22" s="41" t="s">
        <v>102</v>
      </c>
      <c r="I22" s="42" t="n">
        <v>15700000</v>
      </c>
      <c r="J22" s="27"/>
      <c r="K22" s="28"/>
      <c r="L22" s="28"/>
      <c r="M22" s="29" t="n">
        <f aca="false">IF(ISNUMBER(BG22),BG22,"")</f>
        <v>509328786931200</v>
      </c>
      <c r="N22" s="29" t="n">
        <f aca="false">IF(ISNUMBER(M22),LN(2)/M22,0)</f>
        <v>1.36090320897879E-015</v>
      </c>
      <c r="O22" s="31" t="n">
        <f aca="false">10^-24</f>
        <v>1E-024</v>
      </c>
      <c r="P22" s="31" t="n">
        <f aca="false">PI()*$K$97^2*$K$98</f>
        <v>13978830.6714131</v>
      </c>
      <c r="Q22" s="32" t="n">
        <f aca="false">E22/O22</f>
        <v>1.74196E+019</v>
      </c>
      <c r="R22" s="32" t="n">
        <f aca="false">Q22*P22</f>
        <v>2.43505638763748E+026</v>
      </c>
      <c r="S22" s="43" t="n">
        <f aca="false">R22*N22</f>
        <v>331387605198.016</v>
      </c>
      <c r="T22" s="44" t="n">
        <f aca="false">S22*0.000000000027</f>
        <v>8.94746534034642</v>
      </c>
      <c r="U22" s="45" t="str">
        <f aca="false">D22</f>
        <v>I, Br, Se, Te</v>
      </c>
      <c r="V22" s="56" t="n">
        <v>3E-005</v>
      </c>
      <c r="W22" s="56" t="n">
        <v>8E-005</v>
      </c>
      <c r="X22" s="57" t="n">
        <v>2</v>
      </c>
      <c r="Y22" s="57" t="n">
        <v>1</v>
      </c>
      <c r="Z22" s="57" t="n">
        <v>10</v>
      </c>
      <c r="AA22" s="57" t="n">
        <v>5</v>
      </c>
      <c r="AB22" s="57" t="n">
        <f aca="false">10^7</f>
        <v>10000000</v>
      </c>
      <c r="AC22" s="57" t="n">
        <f aca="false">2000000</f>
        <v>2000000</v>
      </c>
      <c r="AD22" s="57" t="n">
        <v>1</v>
      </c>
      <c r="AE22" s="57" t="n">
        <v>1</v>
      </c>
      <c r="AF22" s="58" t="n">
        <v>100</v>
      </c>
      <c r="AG22" s="58" t="n">
        <v>100</v>
      </c>
      <c r="AH22" s="57" t="n">
        <v>10</v>
      </c>
      <c r="AI22" s="57" t="n">
        <v>2</v>
      </c>
      <c r="AJ22" s="49" t="n">
        <f aca="false">$S22*(1/X22)*(1/Z22)*(1/AB22)*(1/AD22)*(1/AF22)*(1/AH22)</f>
        <v>1.65693802599008</v>
      </c>
      <c r="AK22" s="49" t="n">
        <f aca="false">$S22*(1/Y22)*(1/AA22)*(1/AC22)*(1/AE22)*(1/AG22)*(1/AI22)</f>
        <v>165.693802599008</v>
      </c>
      <c r="AL22" s="49" t="n">
        <f aca="false">AK22*0.000000000027</f>
        <v>4.47373267017321E-009</v>
      </c>
      <c r="AM22" s="49" t="str">
        <f aca="false">B22</f>
        <v>I-129</v>
      </c>
      <c r="AO22" s="50" t="n">
        <f aca="false">$S22</f>
        <v>331387605198.016</v>
      </c>
      <c r="AP22" s="50" t="n">
        <f aca="false">$S22*(1/X22)</f>
        <v>165693802599.008</v>
      </c>
      <c r="AQ22" s="50" t="n">
        <f aca="false">$S22*(1/X22)*(1/Z22)</f>
        <v>16569380259.9008</v>
      </c>
      <c r="AR22" s="50" t="n">
        <f aca="false">$S22*(1/X22)*(1/Z22)*(1/AB22)</f>
        <v>1656.93802599008</v>
      </c>
      <c r="AS22" s="50" t="n">
        <f aca="false">$S22*(1/X22)*(1/Z22)*(1/AB22)*(1/AD22)</f>
        <v>1656.93802599008</v>
      </c>
      <c r="AT22" s="51" t="n">
        <f aca="false">$S22*(1/X22)*(1/Z22)*(1/AB22)*(1/AD22)*(1/AF22)</f>
        <v>16.5693802599008</v>
      </c>
      <c r="AU22" s="50" t="n">
        <f aca="false">$S22*(1/X22)*(1/Z22)*(1/AB22)*(1/AD22)*(1/AF22)*(1/AH22)</f>
        <v>1.65693802599008</v>
      </c>
      <c r="AX22" s="50" t="n">
        <f aca="false">AO22</f>
        <v>331387605198.016</v>
      </c>
      <c r="AY22" s="50" t="n">
        <f aca="false">AX22*(1/Y22)</f>
        <v>331387605198.016</v>
      </c>
      <c r="AZ22" s="50" t="n">
        <f aca="false">AY22*(1/AA22)</f>
        <v>66277521039.6031</v>
      </c>
      <c r="BA22" s="50" t="n">
        <f aca="false">AZ22*(1/AC22)</f>
        <v>33138.7605198016</v>
      </c>
      <c r="BB22" s="50" t="n">
        <f aca="false">BA22*(1/AE22)</f>
        <v>33138.7605198016</v>
      </c>
      <c r="BC22" s="50" t="n">
        <f aca="false">BB22*(1/AG22)</f>
        <v>331.387605198016</v>
      </c>
      <c r="BD22" s="50" t="n">
        <f aca="false">BC22*(1/AI22)</f>
        <v>165.693802599008</v>
      </c>
      <c r="BF22" s="36" t="s">
        <v>103</v>
      </c>
      <c r="BG22" s="0" t="n">
        <v>509328786931200</v>
      </c>
    </row>
    <row r="23" customFormat="false" ht="15.75" hidden="true" customHeight="true" outlineLevel="0" collapsed="false">
      <c r="B23" s="22" t="s">
        <v>104</v>
      </c>
      <c r="C23" s="23" t="n">
        <v>42095</v>
      </c>
      <c r="D23" s="23"/>
      <c r="E23" s="37" t="n">
        <v>8.55988E-005</v>
      </c>
      <c r="F23" s="37"/>
      <c r="G23" s="37" t="s">
        <v>53</v>
      </c>
      <c r="H23" s="25" t="s">
        <v>53</v>
      </c>
      <c r="I23" s="26"/>
      <c r="J23" s="27"/>
      <c r="K23" s="28"/>
      <c r="L23" s="28"/>
      <c r="M23" s="29" t="str">
        <f aca="false">IF(ISNUMBER(BG23),BG23,"")</f>
        <v/>
      </c>
      <c r="N23" s="30" t="n">
        <f aca="false">IF(ISNUMBER(M23),LN(2)/M23,0)</f>
        <v>0</v>
      </c>
      <c r="O23" s="31" t="n">
        <f aca="false">10^-24</f>
        <v>1E-024</v>
      </c>
      <c r="P23" s="31" t="n">
        <f aca="false">PI()*$K$97^2*$K$98</f>
        <v>13978830.6714131</v>
      </c>
      <c r="Q23" s="32" t="n">
        <f aca="false">E23/O23</f>
        <v>8.55988E+019</v>
      </c>
      <c r="R23" s="32" t="n">
        <f aca="false">Q23*P23</f>
        <v>1.19657113087616E+027</v>
      </c>
      <c r="S23" s="32" t="n">
        <f aca="false">R23*N23</f>
        <v>0</v>
      </c>
      <c r="T23" s="32"/>
      <c r="U23" s="32"/>
      <c r="V23" s="33"/>
      <c r="W23" s="33"/>
      <c r="X23" s="34" t="n">
        <v>0.01</v>
      </c>
      <c r="Y23" s="34"/>
      <c r="Z23" s="34" t="n">
        <v>0.999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3" t="n">
        <f aca="false">S23*X23*(1-Z23)</f>
        <v>0</v>
      </c>
      <c r="AK23" s="35"/>
      <c r="AL23" s="35"/>
      <c r="AM23" s="35"/>
      <c r="BF23" s="36" t="s">
        <v>54</v>
      </c>
    </row>
    <row r="24" customFormat="false" ht="15.75" hidden="true" customHeight="true" outlineLevel="0" collapsed="false">
      <c r="B24" s="22" t="s">
        <v>105</v>
      </c>
      <c r="C24" s="23" t="n">
        <v>42097</v>
      </c>
      <c r="D24" s="23"/>
      <c r="E24" s="37" t="n">
        <v>0.000108613</v>
      </c>
      <c r="F24" s="37"/>
      <c r="G24" s="37" t="s">
        <v>53</v>
      </c>
      <c r="H24" s="25" t="s">
        <v>53</v>
      </c>
      <c r="I24" s="26"/>
      <c r="J24" s="27"/>
      <c r="K24" s="28"/>
      <c r="L24" s="28"/>
      <c r="M24" s="29" t="str">
        <f aca="false">IF(ISNUMBER(BG24),BG24,"")</f>
        <v/>
      </c>
      <c r="N24" s="30" t="n">
        <f aca="false">IF(ISNUMBER(M24),LN(2)/M24,0)</f>
        <v>0</v>
      </c>
      <c r="O24" s="31" t="n">
        <f aca="false">10^-24</f>
        <v>1E-024</v>
      </c>
      <c r="P24" s="31" t="n">
        <f aca="false">PI()*$K$97^2*$K$98</f>
        <v>13978830.6714131</v>
      </c>
      <c r="Q24" s="32" t="n">
        <f aca="false">E24/O24</f>
        <v>1.08613E+020</v>
      </c>
      <c r="R24" s="32" t="n">
        <f aca="false">Q24*P24</f>
        <v>1.5182827357142E+027</v>
      </c>
      <c r="S24" s="32" t="n">
        <f aca="false">R24*N24</f>
        <v>0</v>
      </c>
      <c r="T24" s="32"/>
      <c r="U24" s="32"/>
      <c r="V24" s="32"/>
      <c r="W24" s="32"/>
      <c r="X24" s="38" t="n">
        <v>0.01</v>
      </c>
      <c r="Y24" s="38"/>
      <c r="Z24" s="38" t="n">
        <v>0.999</v>
      </c>
      <c r="AA24" s="38"/>
      <c r="AB24" s="38"/>
      <c r="AC24" s="38"/>
      <c r="AD24" s="38"/>
      <c r="AE24" s="38"/>
      <c r="AF24" s="38"/>
      <c r="AG24" s="38"/>
      <c r="AH24" s="38"/>
      <c r="AI24" s="38"/>
      <c r="AJ24" s="32" t="n">
        <f aca="false">S24*X24*(1-Z24)</f>
        <v>0</v>
      </c>
      <c r="AK24" s="35"/>
      <c r="AL24" s="35"/>
      <c r="AM24" s="35"/>
      <c r="BF24" s="36" t="s">
        <v>54</v>
      </c>
    </row>
    <row r="25" customFormat="false" ht="15.75" hidden="true" customHeight="true" outlineLevel="0" collapsed="false">
      <c r="B25" s="22" t="s">
        <v>106</v>
      </c>
      <c r="C25" s="23" t="n">
        <v>42098</v>
      </c>
      <c r="D25" s="23"/>
      <c r="E25" s="37" t="n">
        <v>0.000145386</v>
      </c>
      <c r="F25" s="37"/>
      <c r="G25" s="37" t="s">
        <v>53</v>
      </c>
      <c r="H25" s="25" t="s">
        <v>53</v>
      </c>
      <c r="I25" s="26"/>
      <c r="J25" s="27"/>
      <c r="K25" s="28"/>
      <c r="L25" s="28"/>
      <c r="M25" s="29" t="str">
        <f aca="false">IF(ISNUMBER(BG25),BG25,"")</f>
        <v/>
      </c>
      <c r="N25" s="30" t="n">
        <f aca="false">IF(ISNUMBER(M25),LN(2)/M25,0)</f>
        <v>0</v>
      </c>
      <c r="O25" s="31" t="n">
        <f aca="false">10^-24</f>
        <v>1E-024</v>
      </c>
      <c r="P25" s="31" t="n">
        <f aca="false">PI()*$K$97^2*$K$98</f>
        <v>13978830.6714131</v>
      </c>
      <c r="Q25" s="32" t="n">
        <f aca="false">E25/O25</f>
        <v>1.45386E+020</v>
      </c>
      <c r="R25" s="32" t="n">
        <f aca="false">Q25*P25</f>
        <v>2.03232627599407E+027</v>
      </c>
      <c r="S25" s="32" t="n">
        <f aca="false">R25*N25</f>
        <v>0</v>
      </c>
      <c r="T25" s="32"/>
      <c r="U25" s="32"/>
      <c r="V25" s="32"/>
      <c r="W25" s="32"/>
      <c r="X25" s="38" t="n">
        <v>0.01</v>
      </c>
      <c r="Y25" s="38"/>
      <c r="Z25" s="38" t="n">
        <v>0.999</v>
      </c>
      <c r="AA25" s="38"/>
      <c r="AB25" s="38"/>
      <c r="AC25" s="38"/>
      <c r="AD25" s="38"/>
      <c r="AE25" s="38"/>
      <c r="AF25" s="38"/>
      <c r="AG25" s="38"/>
      <c r="AH25" s="38"/>
      <c r="AI25" s="38"/>
      <c r="AJ25" s="32" t="n">
        <f aca="false">S25*X25*(1-Z25)</f>
        <v>0</v>
      </c>
      <c r="AK25" s="35"/>
      <c r="AL25" s="35"/>
      <c r="AM25" s="35"/>
      <c r="BF25" s="36" t="s">
        <v>54</v>
      </c>
    </row>
    <row r="26" customFormat="false" ht="15.75" hidden="true" customHeight="true" outlineLevel="0" collapsed="false">
      <c r="B26" s="22" t="s">
        <v>107</v>
      </c>
      <c r="C26" s="23" t="n">
        <v>42100</v>
      </c>
      <c r="D26" s="23"/>
      <c r="E26" s="37" t="n">
        <v>0.000160969</v>
      </c>
      <c r="F26" s="37"/>
      <c r="G26" s="37" t="s">
        <v>53</v>
      </c>
      <c r="H26" s="25" t="s">
        <v>53</v>
      </c>
      <c r="I26" s="26"/>
      <c r="J26" s="27"/>
      <c r="K26" s="28"/>
      <c r="L26" s="28"/>
      <c r="M26" s="29" t="str">
        <f aca="false">IF(ISNUMBER(BG26),BG26,"")</f>
        <v/>
      </c>
      <c r="N26" s="30" t="n">
        <f aca="false">IF(ISNUMBER(M26),LN(2)/M26,0)</f>
        <v>0</v>
      </c>
      <c r="O26" s="31" t="n">
        <f aca="false">10^-24</f>
        <v>1E-024</v>
      </c>
      <c r="P26" s="31" t="n">
        <f aca="false">PI()*$K$97^2*$K$98</f>
        <v>13978830.6714131</v>
      </c>
      <c r="Q26" s="32" t="n">
        <f aca="false">E26/O26</f>
        <v>1.60969E+020</v>
      </c>
      <c r="R26" s="32" t="n">
        <f aca="false">Q26*P26</f>
        <v>2.2501583943467E+027</v>
      </c>
      <c r="S26" s="32" t="n">
        <f aca="false">R26*N26</f>
        <v>0</v>
      </c>
      <c r="T26" s="32"/>
      <c r="U26" s="32"/>
      <c r="V26" s="39"/>
      <c r="W26" s="39"/>
      <c r="X26" s="40" t="n">
        <v>0.01</v>
      </c>
      <c r="Y26" s="40"/>
      <c r="Z26" s="40" t="n">
        <v>0.999</v>
      </c>
      <c r="AA26" s="40"/>
      <c r="AB26" s="40"/>
      <c r="AC26" s="40"/>
      <c r="AD26" s="40"/>
      <c r="AE26" s="40"/>
      <c r="AF26" s="40"/>
      <c r="AG26" s="40"/>
      <c r="AH26" s="40"/>
      <c r="AI26" s="40"/>
      <c r="AJ26" s="39" t="n">
        <f aca="false">S26*X26*(1-Z26)</f>
        <v>0</v>
      </c>
      <c r="AK26" s="35"/>
      <c r="AL26" s="35"/>
      <c r="AM26" s="35"/>
      <c r="BF26" s="36" t="s">
        <v>108</v>
      </c>
    </row>
    <row r="27" customFormat="false" ht="15.75" hidden="false" customHeight="true" outlineLevel="0" collapsed="false">
      <c r="B27" s="22" t="s">
        <v>109</v>
      </c>
      <c r="C27" s="23" t="n">
        <v>43099</v>
      </c>
      <c r="D27" s="23" t="s">
        <v>110</v>
      </c>
      <c r="E27" s="37" t="n">
        <v>0.000135738</v>
      </c>
      <c r="F27" s="37" t="s">
        <v>111</v>
      </c>
      <c r="G27" s="37" t="s">
        <v>112</v>
      </c>
      <c r="H27" s="41" t="s">
        <v>113</v>
      </c>
      <c r="I27" s="42" t="n">
        <v>213000</v>
      </c>
      <c r="J27" s="27"/>
      <c r="K27" s="28"/>
      <c r="L27" s="28"/>
      <c r="M27" s="29" t="n">
        <f aca="false">IF(ISNUMBER(BG27),BG27,"")</f>
        <v>6661667095488</v>
      </c>
      <c r="N27" s="29" t="n">
        <f aca="false">IF(ISNUMBER(M27),LN(2)/M27,0)</f>
        <v>1.04050107972135E-013</v>
      </c>
      <c r="O27" s="31" t="n">
        <f aca="false">10^-24</f>
        <v>1E-024</v>
      </c>
      <c r="P27" s="31" t="n">
        <f aca="false">PI()*$K$97^2*$K$98</f>
        <v>13978830.6714131</v>
      </c>
      <c r="Q27" s="32" t="n">
        <f aca="false">E27/O27</f>
        <v>1.35738E+020</v>
      </c>
      <c r="R27" s="32" t="n">
        <f aca="false">Q27*P27</f>
        <v>1.89745851767628E+027</v>
      </c>
      <c r="S27" s="43" t="n">
        <f aca="false">R27*N27</f>
        <v>197430763636864</v>
      </c>
      <c r="T27" s="44" t="n">
        <f aca="false">S27*0.000000000027</f>
        <v>5330.63061819532</v>
      </c>
      <c r="U27" s="45" t="str">
        <f aca="false">D27</f>
        <v>Mo, Ru, Rh, Tc</v>
      </c>
      <c r="V27" s="46" t="n">
        <v>3E-005</v>
      </c>
      <c r="W27" s="46" t="n">
        <v>8E-005</v>
      </c>
      <c r="X27" s="38" t="n">
        <v>1</v>
      </c>
      <c r="Y27" s="38" t="n">
        <v>1</v>
      </c>
      <c r="Z27" s="38" t="n">
        <v>100</v>
      </c>
      <c r="AA27" s="38" t="n">
        <v>50</v>
      </c>
      <c r="AB27" s="38" t="n">
        <f aca="false">10^7</f>
        <v>10000000</v>
      </c>
      <c r="AC27" s="38" t="n">
        <f aca="false">2000000</f>
        <v>2000000</v>
      </c>
      <c r="AD27" s="38" t="n">
        <v>10</v>
      </c>
      <c r="AE27" s="38" t="n">
        <v>3</v>
      </c>
      <c r="AF27" s="48" t="n">
        <v>100</v>
      </c>
      <c r="AG27" s="48" t="n">
        <v>100</v>
      </c>
      <c r="AH27" s="38" t="n">
        <v>10</v>
      </c>
      <c r="AI27" s="38" t="n">
        <v>2</v>
      </c>
      <c r="AJ27" s="49" t="n">
        <f aca="false">$S27*(1/X27)*(1/Z27)*(1/AB27)*(1/AD27)*(1/AF27)*(1/AH27)</f>
        <v>19.7430763636864</v>
      </c>
      <c r="AK27" s="49" t="n">
        <f aca="false">$S27*(1/Y27)*(1/AA27)*(1/AC27)*(1/AE27)*(1/AG27)*(1/AI27)</f>
        <v>3290.51272728106</v>
      </c>
      <c r="AL27" s="49" t="n">
        <f aca="false">AK27*0.000000000027</f>
        <v>8.88438436365887E-008</v>
      </c>
      <c r="AM27" s="49" t="str">
        <f aca="false">B27</f>
        <v>Tc-99</v>
      </c>
      <c r="AO27" s="50" t="n">
        <f aca="false">$S27</f>
        <v>197430763636864</v>
      </c>
      <c r="AP27" s="50" t="n">
        <f aca="false">$S27*(1/X27)</f>
        <v>197430763636864</v>
      </c>
      <c r="AQ27" s="50" t="n">
        <f aca="false">$S27*(1/X27)*(1/Z27)</f>
        <v>1974307636368.64</v>
      </c>
      <c r="AR27" s="50" t="n">
        <f aca="false">$S27*(1/X27)*(1/Z27)*(1/AB27)</f>
        <v>197430.763636864</v>
      </c>
      <c r="AS27" s="50" t="n">
        <f aca="false">$S27*(1/X27)*(1/Z27)*(1/AB27)*(1/AD27)</f>
        <v>19743.0763636864</v>
      </c>
      <c r="AT27" s="51" t="n">
        <f aca="false">$S27*(1/X27)*(1/Z27)*(1/AB27)*(1/AD27)*(1/AF27)</f>
        <v>197.430763636864</v>
      </c>
      <c r="AU27" s="50" t="n">
        <f aca="false">$S27*(1/X27)*(1/Z27)*(1/AB27)*(1/AD27)*(1/AF27)*(1/AH27)</f>
        <v>19.7430763636864</v>
      </c>
      <c r="AX27" s="50" t="n">
        <f aca="false">AO27</f>
        <v>197430763636864</v>
      </c>
      <c r="AY27" s="50" t="n">
        <f aca="false">AX27*(1/Y27)</f>
        <v>197430763636864</v>
      </c>
      <c r="AZ27" s="50" t="n">
        <f aca="false">AY27*(1/AA27)</f>
        <v>3948615272737.28</v>
      </c>
      <c r="BA27" s="50" t="n">
        <f aca="false">AZ27*(1/AC27)</f>
        <v>1974307.63636864</v>
      </c>
      <c r="BB27" s="50" t="n">
        <f aca="false">BA27*(1/AE27)</f>
        <v>658102.545456213</v>
      </c>
      <c r="BC27" s="50" t="n">
        <f aca="false">BB27*(1/AG27)</f>
        <v>6581.02545456213</v>
      </c>
      <c r="BD27" s="50" t="n">
        <f aca="false">BC27*(1/AI27)</f>
        <v>3290.51272728106</v>
      </c>
      <c r="BF27" s="36" t="s">
        <v>114</v>
      </c>
      <c r="BG27" s="0" t="n">
        <v>6661667095488</v>
      </c>
    </row>
    <row r="28" customFormat="false" ht="15.75" hidden="true" customHeight="true" outlineLevel="0" collapsed="false">
      <c r="B28" s="22" t="s">
        <v>115</v>
      </c>
      <c r="C28" s="23" t="n">
        <v>44100</v>
      </c>
      <c r="D28" s="23"/>
      <c r="E28" s="37" t="n">
        <v>1.63406E-005</v>
      </c>
      <c r="F28" s="37"/>
      <c r="G28" s="37" t="s">
        <v>53</v>
      </c>
      <c r="H28" s="25" t="s">
        <v>53</v>
      </c>
      <c r="I28" s="26"/>
      <c r="J28" s="27"/>
      <c r="K28" s="28"/>
      <c r="L28" s="28"/>
      <c r="M28" s="29" t="str">
        <f aca="false">IF(ISNUMBER(BG28),BG28,"")</f>
        <v/>
      </c>
      <c r="N28" s="30" t="n">
        <f aca="false">IF(ISNUMBER(M28),LN(2)/M28,0)</f>
        <v>0</v>
      </c>
      <c r="O28" s="31" t="n">
        <f aca="false">10^-24</f>
        <v>1E-024</v>
      </c>
      <c r="P28" s="31" t="n">
        <f aca="false">PI()*$K$97^2*$K$98</f>
        <v>13978830.6714131</v>
      </c>
      <c r="Q28" s="32" t="n">
        <f aca="false">E28/O28</f>
        <v>1.63406E+019</v>
      </c>
      <c r="R28" s="32" t="n">
        <f aca="false">Q28*P28</f>
        <v>2.28422480469294E+026</v>
      </c>
      <c r="S28" s="32" t="n">
        <f aca="false">R28*N28</f>
        <v>0</v>
      </c>
      <c r="T28" s="32"/>
      <c r="U28" s="32"/>
      <c r="V28" s="33"/>
      <c r="W28" s="33"/>
      <c r="X28" s="34" t="n">
        <v>0.01</v>
      </c>
      <c r="Y28" s="34"/>
      <c r="Z28" s="34" t="n">
        <v>0.999</v>
      </c>
      <c r="AA28" s="34"/>
      <c r="AB28" s="34"/>
      <c r="AC28" s="34"/>
      <c r="AD28" s="34"/>
      <c r="AE28" s="34"/>
      <c r="AF28" s="34"/>
      <c r="AG28" s="34"/>
      <c r="AH28" s="34"/>
      <c r="AI28" s="34"/>
      <c r="AJ28" s="33" t="n">
        <f aca="false">S28*X28*(1-Z28)</f>
        <v>0</v>
      </c>
      <c r="AK28" s="35"/>
      <c r="AL28" s="35"/>
      <c r="AM28" s="35"/>
      <c r="BF28" s="36" t="s">
        <v>54</v>
      </c>
    </row>
    <row r="29" customFormat="false" ht="15.75" hidden="true" customHeight="true" outlineLevel="0" collapsed="false">
      <c r="B29" s="22" t="s">
        <v>116</v>
      </c>
      <c r="C29" s="23" t="n">
        <v>44101</v>
      </c>
      <c r="D29" s="23"/>
      <c r="E29" s="37" t="n">
        <v>0.000130448</v>
      </c>
      <c r="F29" s="37"/>
      <c r="G29" s="37" t="s">
        <v>53</v>
      </c>
      <c r="H29" s="25" t="s">
        <v>53</v>
      </c>
      <c r="I29" s="26"/>
      <c r="J29" s="27"/>
      <c r="K29" s="28"/>
      <c r="L29" s="28"/>
      <c r="M29" s="29" t="str">
        <f aca="false">IF(ISNUMBER(BG29),BG29,"")</f>
        <v/>
      </c>
      <c r="N29" s="30" t="n">
        <f aca="false">IF(ISNUMBER(M29),LN(2)/M29,0)</f>
        <v>0</v>
      </c>
      <c r="O29" s="31" t="n">
        <f aca="false">10^-24</f>
        <v>1E-024</v>
      </c>
      <c r="P29" s="31" t="n">
        <f aca="false">PI()*$K$97^2*$K$98</f>
        <v>13978830.6714131</v>
      </c>
      <c r="Q29" s="32" t="n">
        <f aca="false">E29/O29</f>
        <v>1.30448E+020</v>
      </c>
      <c r="R29" s="32" t="n">
        <f aca="false">Q29*P29</f>
        <v>1.8235105034245E+027</v>
      </c>
      <c r="S29" s="32" t="n">
        <f aca="false">R29*N29</f>
        <v>0</v>
      </c>
      <c r="T29" s="32"/>
      <c r="U29" s="32"/>
      <c r="V29" s="32"/>
      <c r="W29" s="32"/>
      <c r="X29" s="38" t="n">
        <v>0.01</v>
      </c>
      <c r="Y29" s="38"/>
      <c r="Z29" s="38" t="n">
        <v>0.999</v>
      </c>
      <c r="AA29" s="38"/>
      <c r="AB29" s="38"/>
      <c r="AC29" s="38"/>
      <c r="AD29" s="38"/>
      <c r="AE29" s="38"/>
      <c r="AF29" s="38"/>
      <c r="AG29" s="38"/>
      <c r="AH29" s="38"/>
      <c r="AI29" s="38"/>
      <c r="AJ29" s="32" t="n">
        <f aca="false">S29*X29*(1-Z29)</f>
        <v>0</v>
      </c>
      <c r="AK29" s="35"/>
      <c r="AL29" s="35"/>
      <c r="AM29" s="35"/>
      <c r="BF29" s="36" t="s">
        <v>54</v>
      </c>
    </row>
    <row r="30" customFormat="false" ht="15.75" hidden="true" customHeight="true" outlineLevel="0" collapsed="false">
      <c r="B30" s="22" t="s">
        <v>117</v>
      </c>
      <c r="C30" s="23" t="n">
        <v>44102</v>
      </c>
      <c r="D30" s="23"/>
      <c r="E30" s="37" t="n">
        <v>0.000124524</v>
      </c>
      <c r="F30" s="37"/>
      <c r="G30" s="37" t="s">
        <v>53</v>
      </c>
      <c r="H30" s="25" t="s">
        <v>53</v>
      </c>
      <c r="I30" s="26"/>
      <c r="J30" s="27"/>
      <c r="K30" s="28"/>
      <c r="L30" s="28"/>
      <c r="M30" s="29" t="str">
        <f aca="false">IF(ISNUMBER(BG30),BG30,"")</f>
        <v/>
      </c>
      <c r="N30" s="30" t="n">
        <f aca="false">IF(ISNUMBER(M30),LN(2)/M30,0)</f>
        <v>0</v>
      </c>
      <c r="O30" s="31" t="n">
        <f aca="false">10^-24</f>
        <v>1E-024</v>
      </c>
      <c r="P30" s="31" t="n">
        <f aca="false">PI()*$K$97^2*$K$98</f>
        <v>13978830.6714131</v>
      </c>
      <c r="Q30" s="32" t="n">
        <f aca="false">E30/O30</f>
        <v>1.24524E+020</v>
      </c>
      <c r="R30" s="32" t="n">
        <f aca="false">Q30*P30</f>
        <v>1.74069991052705E+027</v>
      </c>
      <c r="S30" s="32" t="n">
        <f aca="false">R30*N30</f>
        <v>0</v>
      </c>
      <c r="T30" s="32"/>
      <c r="U30" s="32"/>
      <c r="V30" s="39"/>
      <c r="W30" s="39"/>
      <c r="X30" s="40" t="n">
        <v>0.01</v>
      </c>
      <c r="Y30" s="40"/>
      <c r="Z30" s="40" t="n">
        <v>0.999</v>
      </c>
      <c r="AA30" s="40"/>
      <c r="AB30" s="40"/>
      <c r="AC30" s="40"/>
      <c r="AD30" s="40"/>
      <c r="AE30" s="40"/>
      <c r="AF30" s="40"/>
      <c r="AG30" s="40"/>
      <c r="AH30" s="40"/>
      <c r="AI30" s="40"/>
      <c r="AJ30" s="39" t="n">
        <f aca="false">S30*X30*(1-Z30)</f>
        <v>0</v>
      </c>
      <c r="AK30" s="35"/>
      <c r="AL30" s="35"/>
      <c r="AM30" s="35"/>
      <c r="BF30" s="36" t="s">
        <v>54</v>
      </c>
    </row>
    <row r="31" customFormat="false" ht="15.75" hidden="false" customHeight="true" outlineLevel="0" collapsed="false">
      <c r="B31" s="22" t="s">
        <v>118</v>
      </c>
      <c r="C31" s="23" t="n">
        <v>44103</v>
      </c>
      <c r="D31" s="23" t="s">
        <v>110</v>
      </c>
      <c r="E31" s="37" t="n">
        <v>2.04804E-005</v>
      </c>
      <c r="F31" s="37" t="s">
        <v>119</v>
      </c>
      <c r="G31" s="37" t="s">
        <v>120</v>
      </c>
      <c r="H31" s="41" t="s">
        <v>120</v>
      </c>
      <c r="I31" s="42"/>
      <c r="J31" s="27" t="n">
        <v>39.62</v>
      </c>
      <c r="K31" s="28"/>
      <c r="L31" s="28"/>
      <c r="M31" s="29" t="n">
        <f aca="false">IF(ISNUMBER(BG31),BG31,"")</f>
        <v>3390768</v>
      </c>
      <c r="N31" s="29" t="n">
        <f aca="false">IF(ISNUMBER(M31),LN(2)/M31,0)</f>
        <v>2.04421883349125E-007</v>
      </c>
      <c r="O31" s="31" t="n">
        <f aca="false">10^-24</f>
        <v>1E-024</v>
      </c>
      <c r="P31" s="31" t="n">
        <f aca="false">PI()*$K$97^2*$K$98</f>
        <v>13978830.6714131</v>
      </c>
      <c r="Q31" s="32" t="n">
        <f aca="false">E31/O31</f>
        <v>2.04804E+019</v>
      </c>
      <c r="R31" s="32" t="n">
        <f aca="false">Q31*P31</f>
        <v>2.8629204368281E+026</v>
      </c>
      <c r="S31" s="43" t="n">
        <f aca="false">R31*N31</f>
        <v>5.85243587575099E+019</v>
      </c>
      <c r="T31" s="44" t="n">
        <f aca="false">S31*0.000000000027</f>
        <v>1580157686.45277</v>
      </c>
      <c r="U31" s="45" t="str">
        <f aca="false">D31</f>
        <v>Mo, Ru, Rh, Tc</v>
      </c>
      <c r="V31" s="46" t="n">
        <v>3E-005</v>
      </c>
      <c r="W31" s="46" t="n">
        <v>8E-005</v>
      </c>
      <c r="X31" s="38" t="n">
        <v>1</v>
      </c>
      <c r="Y31" s="38" t="n">
        <v>1</v>
      </c>
      <c r="Z31" s="38" t="n">
        <v>100</v>
      </c>
      <c r="AA31" s="38" t="n">
        <v>50</v>
      </c>
      <c r="AB31" s="38" t="n">
        <f aca="false">10^7</f>
        <v>10000000</v>
      </c>
      <c r="AC31" s="38" t="n">
        <f aca="false">2000000</f>
        <v>2000000</v>
      </c>
      <c r="AD31" s="38" t="n">
        <v>10</v>
      </c>
      <c r="AE31" s="38" t="n">
        <v>3</v>
      </c>
      <c r="AF31" s="48" t="n">
        <v>100</v>
      </c>
      <c r="AG31" s="48" t="n">
        <v>100</v>
      </c>
      <c r="AH31" s="38" t="n">
        <v>10</v>
      </c>
      <c r="AI31" s="38" t="n">
        <v>2</v>
      </c>
      <c r="AJ31" s="49" t="n">
        <f aca="false">$S31*(1/X31)*(1/Z31)*(1/AB31)*(1/AD31)*(1/AF31)*(1/AH31)</f>
        <v>5852435.87575099</v>
      </c>
      <c r="AK31" s="49" t="n">
        <f aca="false">$S31*(1/Y31)*(1/AA31)*(1/AC31)*(1/AE31)*(1/AG31)*(1/AI31)</f>
        <v>975405979.291832</v>
      </c>
      <c r="AL31" s="49" t="n">
        <f aca="false">AK31*0.000000000027</f>
        <v>0.0263359614408795</v>
      </c>
      <c r="AM31" s="49" t="str">
        <f aca="false">B31</f>
        <v>Ru-103</v>
      </c>
      <c r="AO31" s="50" t="n">
        <f aca="false">$S31</f>
        <v>5.85243587575099E+019</v>
      </c>
      <c r="AP31" s="50" t="n">
        <f aca="false">$S31*(1/X31)</f>
        <v>5.85243587575099E+019</v>
      </c>
      <c r="AQ31" s="50" t="n">
        <f aca="false">$S31*(1/X31)*(1/Z31)</f>
        <v>5.85243587575099E+017</v>
      </c>
      <c r="AR31" s="50" t="n">
        <f aca="false">$S31*(1/X31)*(1/Z31)*(1/AB31)</f>
        <v>58524358757.5099</v>
      </c>
      <c r="AS31" s="50" t="n">
        <f aca="false">$S31*(1/X31)*(1/Z31)*(1/AB31)*(1/AD31)</f>
        <v>5852435875.75099</v>
      </c>
      <c r="AT31" s="51" t="n">
        <f aca="false">$S31*(1/X31)*(1/Z31)*(1/AB31)*(1/AD31)*(1/AF31)</f>
        <v>58524358.7575099</v>
      </c>
      <c r="AU31" s="50" t="n">
        <f aca="false">$S31*(1/X31)*(1/Z31)*(1/AB31)*(1/AD31)*(1/AF31)*(1/AH31)</f>
        <v>5852435.87575099</v>
      </c>
      <c r="AX31" s="50" t="n">
        <f aca="false">AO31</f>
        <v>5.85243587575099E+019</v>
      </c>
      <c r="AY31" s="50" t="n">
        <f aca="false">AX31*(1/Y31)</f>
        <v>5.85243587575099E+019</v>
      </c>
      <c r="AZ31" s="50" t="n">
        <f aca="false">AY31*(1/AA31)</f>
        <v>1.1704871751502E+018</v>
      </c>
      <c r="BA31" s="50" t="n">
        <f aca="false">AZ31*(1/AC31)</f>
        <v>585243587575.099</v>
      </c>
      <c r="BB31" s="50" t="n">
        <f aca="false">BA31*(1/AE31)</f>
        <v>195081195858.366</v>
      </c>
      <c r="BC31" s="50" t="n">
        <f aca="false">BB31*(1/AG31)</f>
        <v>1950811958.58366</v>
      </c>
      <c r="BD31" s="50" t="n">
        <f aca="false">BC31*(1/AI31)</f>
        <v>975405979.291832</v>
      </c>
      <c r="BF31" s="36" t="s">
        <v>121</v>
      </c>
      <c r="BG31" s="0" t="n">
        <v>3390768</v>
      </c>
    </row>
    <row r="32" customFormat="false" ht="15.75" hidden="true" customHeight="true" outlineLevel="0" collapsed="false">
      <c r="B32" s="22" t="s">
        <v>122</v>
      </c>
      <c r="C32" s="23" t="n">
        <v>44104</v>
      </c>
      <c r="D32" s="23"/>
      <c r="E32" s="37" t="n">
        <v>7.27908E-005</v>
      </c>
      <c r="F32" s="37"/>
      <c r="G32" s="37" t="s">
        <v>53</v>
      </c>
      <c r="H32" s="25" t="s">
        <v>53</v>
      </c>
      <c r="I32" s="26"/>
      <c r="J32" s="27"/>
      <c r="K32" s="28"/>
      <c r="L32" s="28"/>
      <c r="M32" s="29" t="str">
        <f aca="false">IF(ISNUMBER(BG32),BG32,"")</f>
        <v/>
      </c>
      <c r="N32" s="30" t="n">
        <f aca="false">IF(ISNUMBER(M32),LN(2)/M32,0)</f>
        <v>0</v>
      </c>
      <c r="O32" s="31" t="n">
        <f aca="false">10^-24</f>
        <v>1E-024</v>
      </c>
      <c r="P32" s="31" t="n">
        <f aca="false">PI()*$K$97^2*$K$98</f>
        <v>13978830.6714131</v>
      </c>
      <c r="Q32" s="32" t="n">
        <f aca="false">E32/O32</f>
        <v>7.27908E+019</v>
      </c>
      <c r="R32" s="32" t="n">
        <f aca="false">Q32*P32</f>
        <v>1.0175302676367E+027</v>
      </c>
      <c r="S32" s="32" t="n">
        <f aca="false">R32*N32</f>
        <v>0</v>
      </c>
      <c r="T32" s="32"/>
      <c r="U32" s="32"/>
      <c r="V32" s="54"/>
      <c r="W32" s="54"/>
      <c r="X32" s="55" t="n">
        <v>0.01</v>
      </c>
      <c r="Y32" s="55"/>
      <c r="Z32" s="55" t="n">
        <v>0.999</v>
      </c>
      <c r="AA32" s="55"/>
      <c r="AB32" s="55"/>
      <c r="AC32" s="55"/>
      <c r="AD32" s="55"/>
      <c r="AE32" s="55"/>
      <c r="AF32" s="55"/>
      <c r="AG32" s="55"/>
      <c r="AH32" s="55"/>
      <c r="AI32" s="55"/>
      <c r="AJ32" s="54" t="n">
        <f aca="false">S32*X32*(1-Z32)</f>
        <v>0</v>
      </c>
      <c r="AK32" s="35"/>
      <c r="AL32" s="35"/>
      <c r="AM32" s="35"/>
      <c r="BF32" s="36" t="s">
        <v>54</v>
      </c>
    </row>
    <row r="33" customFormat="false" ht="15.75" hidden="false" customHeight="true" outlineLevel="0" collapsed="false">
      <c r="B33" s="22" t="s">
        <v>123</v>
      </c>
      <c r="C33" s="23" t="n">
        <v>44106</v>
      </c>
      <c r="D33" s="23" t="s">
        <v>110</v>
      </c>
      <c r="E33" s="37" t="n">
        <v>2.6273E-005</v>
      </c>
      <c r="F33" s="37" t="s">
        <v>124</v>
      </c>
      <c r="G33" s="37" t="s">
        <v>125</v>
      </c>
      <c r="H33" s="41" t="s">
        <v>126</v>
      </c>
      <c r="I33" s="42"/>
      <c r="J33" s="27" t="n">
        <v>373.6</v>
      </c>
      <c r="K33" s="28"/>
      <c r="L33" s="28"/>
      <c r="M33" s="29" t="n">
        <f aca="false">IF(ISNUMBER(BG33),BG33,"")</f>
        <v>32123520</v>
      </c>
      <c r="N33" s="29" t="n">
        <f aca="false">IF(ISNUMBER(M33),LN(2)/M33,0)</f>
        <v>2.15775600108564E-008</v>
      </c>
      <c r="O33" s="31" t="n">
        <f aca="false">10^-24</f>
        <v>1E-024</v>
      </c>
      <c r="P33" s="31" t="n">
        <f aca="false">PI()*$K$97^2*$K$98</f>
        <v>13978830.6714131</v>
      </c>
      <c r="Q33" s="32" t="n">
        <f aca="false">E33/O33</f>
        <v>2.6273E+019</v>
      </c>
      <c r="R33" s="32" t="n">
        <f aca="false">Q33*P33</f>
        <v>3.67265818230038E+026</v>
      </c>
      <c r="S33" s="43" t="n">
        <f aca="false">R33*N33</f>
        <v>7.92470023279491E+018</v>
      </c>
      <c r="T33" s="44" t="n">
        <f aca="false">S33*0.000000000027</f>
        <v>213966906.285463</v>
      </c>
      <c r="U33" s="45" t="str">
        <f aca="false">D33</f>
        <v>Mo, Ru, Rh, Tc</v>
      </c>
      <c r="V33" s="46" t="n">
        <v>3E-005</v>
      </c>
      <c r="W33" s="46" t="n">
        <v>8E-005</v>
      </c>
      <c r="X33" s="38" t="n">
        <v>1</v>
      </c>
      <c r="Y33" s="38" t="n">
        <v>1</v>
      </c>
      <c r="Z33" s="38" t="n">
        <v>100</v>
      </c>
      <c r="AA33" s="38" t="n">
        <v>50</v>
      </c>
      <c r="AB33" s="38" t="n">
        <f aca="false">10^7</f>
        <v>10000000</v>
      </c>
      <c r="AC33" s="38" t="n">
        <f aca="false">2000000</f>
        <v>2000000</v>
      </c>
      <c r="AD33" s="38" t="n">
        <v>10</v>
      </c>
      <c r="AE33" s="38" t="n">
        <v>3</v>
      </c>
      <c r="AF33" s="48" t="n">
        <v>100</v>
      </c>
      <c r="AG33" s="48" t="n">
        <v>100</v>
      </c>
      <c r="AH33" s="38" t="n">
        <v>10</v>
      </c>
      <c r="AI33" s="38" t="n">
        <v>2</v>
      </c>
      <c r="AJ33" s="49" t="n">
        <f aca="false">$S33*(1/X33)*(1/Z33)*(1/AB33)*(1/AD33)*(1/AF33)*(1/AH33)</f>
        <v>792470.023279491</v>
      </c>
      <c r="AK33" s="49" t="n">
        <f aca="false">$S33*(1/Y33)*(1/AA33)*(1/AC33)*(1/AE33)*(1/AG33)*(1/AI33)</f>
        <v>132078337.213248</v>
      </c>
      <c r="AL33" s="49" t="n">
        <f aca="false">AK33*0.000000000027</f>
        <v>0.00356611510475771</v>
      </c>
      <c r="AM33" s="49" t="str">
        <f aca="false">B33</f>
        <v>Ru-106</v>
      </c>
      <c r="AO33" s="50" t="n">
        <f aca="false">$S33</f>
        <v>7.92470023279491E+018</v>
      </c>
      <c r="AP33" s="50" t="n">
        <f aca="false">$S33*(1/X33)</f>
        <v>7.92470023279491E+018</v>
      </c>
      <c r="AQ33" s="50" t="n">
        <f aca="false">$S33*(1/X33)*(1/Z33)</f>
        <v>79247002327949100</v>
      </c>
      <c r="AR33" s="50" t="n">
        <f aca="false">$S33*(1/X33)*(1/Z33)*(1/AB33)</f>
        <v>7924700232.79491</v>
      </c>
      <c r="AS33" s="50" t="n">
        <f aca="false">$S33*(1/X33)*(1/Z33)*(1/AB33)*(1/AD33)</f>
        <v>792470023.279491</v>
      </c>
      <c r="AT33" s="51" t="n">
        <f aca="false">$S33*(1/X33)*(1/Z33)*(1/AB33)*(1/AD33)*(1/AF33)</f>
        <v>7924700.23279491</v>
      </c>
      <c r="AU33" s="50" t="n">
        <f aca="false">$S33*(1/X33)*(1/Z33)*(1/AB33)*(1/AD33)*(1/AF33)*(1/AH33)</f>
        <v>792470.023279491</v>
      </c>
      <c r="AX33" s="50" t="n">
        <f aca="false">AO33</f>
        <v>7.92470023279491E+018</v>
      </c>
      <c r="AY33" s="50" t="n">
        <f aca="false">AX33*(1/Y33)</f>
        <v>7.92470023279491E+018</v>
      </c>
      <c r="AZ33" s="50" t="n">
        <f aca="false">AY33*(1/AA33)</f>
        <v>1.58494004655898E+017</v>
      </c>
      <c r="BA33" s="50" t="n">
        <f aca="false">AZ33*(1/AC33)</f>
        <v>79247002327.9491</v>
      </c>
      <c r="BB33" s="50" t="n">
        <f aca="false">BA33*(1/AE33)</f>
        <v>26415667442.6497</v>
      </c>
      <c r="BC33" s="50" t="n">
        <f aca="false">BB33*(1/AG33)</f>
        <v>264156674.426497</v>
      </c>
      <c r="BD33" s="50" t="n">
        <f aca="false">BC33*(1/AI33)</f>
        <v>132078337.213248</v>
      </c>
      <c r="BF33" s="36" t="s">
        <v>127</v>
      </c>
      <c r="BG33" s="0" t="n">
        <v>32123520</v>
      </c>
    </row>
    <row r="34" customFormat="false" ht="15.75" hidden="true" customHeight="true" outlineLevel="0" collapsed="false">
      <c r="B34" s="22" t="s">
        <v>128</v>
      </c>
      <c r="C34" s="23" t="n">
        <v>45103</v>
      </c>
      <c r="D34" s="23"/>
      <c r="E34" s="37" t="n">
        <v>5.49655E-005</v>
      </c>
      <c r="F34" s="37"/>
      <c r="G34" s="37" t="s">
        <v>53</v>
      </c>
      <c r="H34" s="25" t="s">
        <v>53</v>
      </c>
      <c r="I34" s="26"/>
      <c r="J34" s="27"/>
      <c r="K34" s="28"/>
      <c r="L34" s="28"/>
      <c r="M34" s="29" t="str">
        <f aca="false">IF(ISNUMBER(BG34),BG34,"")</f>
        <v/>
      </c>
      <c r="N34" s="30" t="n">
        <f aca="false">IF(ISNUMBER(M34),LN(2)/M34,0)</f>
        <v>0</v>
      </c>
      <c r="O34" s="31" t="n">
        <f aca="false">10^-24</f>
        <v>1E-024</v>
      </c>
      <c r="P34" s="31" t="n">
        <f aca="false">PI()*$K$97^2*$K$98</f>
        <v>13978830.6714131</v>
      </c>
      <c r="Q34" s="32" t="n">
        <f aca="false">E34/O34</f>
        <v>5.49655E+019</v>
      </c>
      <c r="R34" s="32" t="n">
        <f aca="false">Q34*P34</f>
        <v>7.68353417269559E+026</v>
      </c>
      <c r="S34" s="32" t="n">
        <f aca="false">R34*N34</f>
        <v>0</v>
      </c>
      <c r="T34" s="32"/>
      <c r="U34" s="32"/>
      <c r="V34" s="54"/>
      <c r="W34" s="54"/>
      <c r="X34" s="55" t="n">
        <v>0.01</v>
      </c>
      <c r="Y34" s="55"/>
      <c r="Z34" s="55" t="n">
        <v>0.999</v>
      </c>
      <c r="AA34" s="55"/>
      <c r="AB34" s="55"/>
      <c r="AC34" s="55"/>
      <c r="AD34" s="55"/>
      <c r="AE34" s="55"/>
      <c r="AF34" s="55"/>
      <c r="AG34" s="55"/>
      <c r="AH34" s="55"/>
      <c r="AI34" s="55"/>
      <c r="AJ34" s="54" t="n">
        <f aca="false">S34*X34*(1-Z34)</f>
        <v>0</v>
      </c>
      <c r="AK34" s="35"/>
      <c r="AL34" s="35"/>
      <c r="AM34" s="35"/>
      <c r="BF34" s="36" t="s">
        <v>54</v>
      </c>
    </row>
    <row r="35" customFormat="false" ht="15.75" hidden="false" customHeight="true" outlineLevel="0" collapsed="false">
      <c r="B35" s="22" t="s">
        <v>129</v>
      </c>
      <c r="C35" s="23" t="n">
        <v>45105</v>
      </c>
      <c r="D35" s="23" t="s">
        <v>110</v>
      </c>
      <c r="E35" s="37" t="n">
        <v>4.30968E-007</v>
      </c>
      <c r="F35" s="37"/>
      <c r="G35" s="37" t="s">
        <v>130</v>
      </c>
      <c r="H35" s="41" t="s">
        <v>130</v>
      </c>
      <c r="I35" s="42"/>
      <c r="J35" s="27"/>
      <c r="K35" s="28" t="n">
        <v>35.36</v>
      </c>
      <c r="L35" s="28"/>
      <c r="M35" s="29" t="n">
        <f aca="false">IF(ISNUMBER(BG35),BG35,"")</f>
        <v>127227.6</v>
      </c>
      <c r="N35" s="29" t="n">
        <f aca="false">IF(ISNUMBER(M35),LN(2)/M35,0)</f>
        <v>5.44808815508542E-006</v>
      </c>
      <c r="O35" s="31" t="n">
        <f aca="false">10^-24</f>
        <v>1E-024</v>
      </c>
      <c r="P35" s="31" t="n">
        <f aca="false">PI()*$K$97^2*$K$98</f>
        <v>13978830.6714131</v>
      </c>
      <c r="Q35" s="32" t="n">
        <f aca="false">E35/O35</f>
        <v>4.30968E+017</v>
      </c>
      <c r="R35" s="32" t="n">
        <f aca="false">Q35*P35</f>
        <v>6.02442869679758E+024</v>
      </c>
      <c r="S35" s="43" t="n">
        <f aca="false">R35*N35</f>
        <v>3.28216186241796E+019</v>
      </c>
      <c r="T35" s="44" t="n">
        <f aca="false">S35*0.000000000027</f>
        <v>886183702.852848</v>
      </c>
      <c r="U35" s="45" t="str">
        <f aca="false">D35</f>
        <v>Mo, Ru, Rh, Tc</v>
      </c>
      <c r="V35" s="46" t="n">
        <v>3E-005</v>
      </c>
      <c r="W35" s="46" t="n">
        <v>8E-005</v>
      </c>
      <c r="X35" s="38" t="n">
        <v>1</v>
      </c>
      <c r="Y35" s="38" t="n">
        <v>1</v>
      </c>
      <c r="Z35" s="38" t="n">
        <v>100</v>
      </c>
      <c r="AA35" s="38" t="n">
        <v>50</v>
      </c>
      <c r="AB35" s="38" t="n">
        <f aca="false">10^7</f>
        <v>10000000</v>
      </c>
      <c r="AC35" s="38" t="n">
        <f aca="false">2000000</f>
        <v>2000000</v>
      </c>
      <c r="AD35" s="38" t="n">
        <v>10</v>
      </c>
      <c r="AE35" s="38" t="n">
        <v>3</v>
      </c>
      <c r="AF35" s="48" t="n">
        <v>100</v>
      </c>
      <c r="AG35" s="48" t="n">
        <v>100</v>
      </c>
      <c r="AH35" s="38" t="n">
        <v>10</v>
      </c>
      <c r="AI35" s="38" t="n">
        <v>2</v>
      </c>
      <c r="AJ35" s="49" t="n">
        <f aca="false">$S35*(1/X35)*(1/Z35)*(1/AB35)*(1/AD35)*(1/AF35)*(1/AH35)</f>
        <v>3282161.86241796</v>
      </c>
      <c r="AK35" s="49" t="n">
        <f aca="false">$S35*(1/Y35)*(1/AA35)*(1/AC35)*(1/AE35)*(1/AG35)*(1/AI35)</f>
        <v>547026977.069659</v>
      </c>
      <c r="AL35" s="49" t="n">
        <f aca="false">AK35*0.000000000027</f>
        <v>0.0147697283808808</v>
      </c>
      <c r="AM35" s="49" t="str">
        <f aca="false">B35</f>
        <v>Rh-105</v>
      </c>
      <c r="AO35" s="50" t="n">
        <f aca="false">$S35</f>
        <v>3.28216186241796E+019</v>
      </c>
      <c r="AP35" s="50" t="n">
        <f aca="false">$S35*(1/X35)</f>
        <v>3.28216186241796E+019</v>
      </c>
      <c r="AQ35" s="50" t="n">
        <f aca="false">$S35*(1/X35)*(1/Z35)</f>
        <v>3.28216186241796E+017</v>
      </c>
      <c r="AR35" s="50" t="n">
        <f aca="false">$S35*(1/X35)*(1/Z35)*(1/AB35)</f>
        <v>32821618624.1796</v>
      </c>
      <c r="AS35" s="50" t="n">
        <f aca="false">$S35*(1/X35)*(1/Z35)*(1/AB35)*(1/AD35)</f>
        <v>3282161862.41796</v>
      </c>
      <c r="AT35" s="51" t="n">
        <f aca="false">$S35*(1/X35)*(1/Z35)*(1/AB35)*(1/AD35)*(1/AF35)</f>
        <v>32821618.6241796</v>
      </c>
      <c r="AU35" s="50" t="n">
        <f aca="false">$S35*(1/X35)*(1/Z35)*(1/AB35)*(1/AD35)*(1/AF35)*(1/AH35)</f>
        <v>3282161.86241796</v>
      </c>
      <c r="AX35" s="50" t="n">
        <f aca="false">AO35</f>
        <v>3.28216186241796E+019</v>
      </c>
      <c r="AY35" s="50" t="n">
        <f aca="false">AX35*(1/Y35)</f>
        <v>3.28216186241796E+019</v>
      </c>
      <c r="AZ35" s="50" t="n">
        <f aca="false">AY35*(1/AA35)</f>
        <v>6.56432372483591E+017</v>
      </c>
      <c r="BA35" s="50" t="n">
        <f aca="false">AZ35*(1/AC35)</f>
        <v>328216186241.796</v>
      </c>
      <c r="BB35" s="50" t="n">
        <f aca="false">BA35*(1/AE35)</f>
        <v>109405395413.932</v>
      </c>
      <c r="BC35" s="50" t="n">
        <f aca="false">BB35*(1/AG35)</f>
        <v>1094053954.13932</v>
      </c>
      <c r="BD35" s="50" t="n">
        <f aca="false">BC35*(1/AI35)</f>
        <v>547026977.069659</v>
      </c>
      <c r="BF35" s="36" t="s">
        <v>131</v>
      </c>
      <c r="BG35" s="0" t="n">
        <v>127227.6</v>
      </c>
    </row>
    <row r="36" customFormat="false" ht="15.75" hidden="true" customHeight="true" outlineLevel="0" collapsed="false">
      <c r="B36" s="22" t="s">
        <v>132</v>
      </c>
      <c r="C36" s="23" t="n">
        <v>46105</v>
      </c>
      <c r="D36" s="23"/>
      <c r="E36" s="37" t="n">
        <v>4.12532E-005</v>
      </c>
      <c r="F36" s="37"/>
      <c r="G36" s="37" t="s">
        <v>53</v>
      </c>
      <c r="H36" s="25" t="s">
        <v>53</v>
      </c>
      <c r="I36" s="26"/>
      <c r="J36" s="27"/>
      <c r="K36" s="28"/>
      <c r="L36" s="28"/>
      <c r="M36" s="29" t="str">
        <f aca="false">IF(ISNUMBER(BG36),BG36,"")</f>
        <v/>
      </c>
      <c r="N36" s="30" t="n">
        <f aca="false">IF(ISNUMBER(M36),LN(2)/M36,0)</f>
        <v>0</v>
      </c>
      <c r="O36" s="31" t="n">
        <f aca="false">10^-24</f>
        <v>1E-024</v>
      </c>
      <c r="P36" s="31" t="n">
        <f aca="false">PI()*$K$97^2*$K$98</f>
        <v>13978830.6714131</v>
      </c>
      <c r="Q36" s="32" t="n">
        <f aca="false">E36/O36</f>
        <v>4.12532E+019</v>
      </c>
      <c r="R36" s="32" t="n">
        <f aca="false">Q36*P36</f>
        <v>5.76671497453941E+026</v>
      </c>
      <c r="S36" s="32" t="n">
        <f aca="false">R36*N36</f>
        <v>0</v>
      </c>
      <c r="T36" s="32"/>
      <c r="U36" s="32"/>
      <c r="V36" s="33"/>
      <c r="W36" s="33"/>
      <c r="X36" s="34" t="n">
        <v>0.01</v>
      </c>
      <c r="Y36" s="34"/>
      <c r="Z36" s="34" t="n">
        <v>0.999</v>
      </c>
      <c r="AA36" s="34"/>
      <c r="AB36" s="34"/>
      <c r="AC36" s="34"/>
      <c r="AD36" s="34"/>
      <c r="AE36" s="34"/>
      <c r="AF36" s="34"/>
      <c r="AG36" s="34"/>
      <c r="AH36" s="34"/>
      <c r="AI36" s="34"/>
      <c r="AJ36" s="33" t="n">
        <f aca="false">S36*X36*(1-Z36)</f>
        <v>0</v>
      </c>
      <c r="AK36" s="35"/>
      <c r="AL36" s="35"/>
      <c r="AM36" s="35"/>
      <c r="BF36" s="36" t="s">
        <v>54</v>
      </c>
    </row>
    <row r="37" customFormat="false" ht="15.75" hidden="true" customHeight="true" outlineLevel="0" collapsed="false">
      <c r="B37" s="22" t="s">
        <v>133</v>
      </c>
      <c r="C37" s="23" t="n">
        <v>46106</v>
      </c>
      <c r="D37" s="23"/>
      <c r="E37" s="37" t="n">
        <v>1.77633E-005</v>
      </c>
      <c r="F37" s="37"/>
      <c r="G37" s="37" t="s">
        <v>53</v>
      </c>
      <c r="H37" s="25" t="s">
        <v>53</v>
      </c>
      <c r="I37" s="26"/>
      <c r="J37" s="27"/>
      <c r="K37" s="28"/>
      <c r="L37" s="28"/>
      <c r="M37" s="29" t="str">
        <f aca="false">IF(ISNUMBER(BG37),BG37,"")</f>
        <v/>
      </c>
      <c r="N37" s="30" t="n">
        <f aca="false">IF(ISNUMBER(M37),LN(2)/M37,0)</f>
        <v>0</v>
      </c>
      <c r="O37" s="31" t="n">
        <f aca="false">10^-24</f>
        <v>1E-024</v>
      </c>
      <c r="P37" s="31" t="n">
        <f aca="false">PI()*$K$97^2*$K$98</f>
        <v>13978830.6714131</v>
      </c>
      <c r="Q37" s="32" t="n">
        <f aca="false">E37/O37</f>
        <v>1.77633E+019</v>
      </c>
      <c r="R37" s="32" t="n">
        <f aca="false">Q37*P37</f>
        <v>2.48310162865513E+026</v>
      </c>
      <c r="S37" s="32" t="n">
        <f aca="false">R37*N37</f>
        <v>0</v>
      </c>
      <c r="T37" s="32"/>
      <c r="U37" s="32"/>
      <c r="V37" s="39"/>
      <c r="W37" s="39"/>
      <c r="X37" s="40" t="n">
        <v>0.01</v>
      </c>
      <c r="Y37" s="40"/>
      <c r="Z37" s="40" t="n">
        <v>0.999</v>
      </c>
      <c r="AA37" s="40"/>
      <c r="AB37" s="40"/>
      <c r="AC37" s="40"/>
      <c r="AD37" s="40"/>
      <c r="AE37" s="40"/>
      <c r="AF37" s="40"/>
      <c r="AG37" s="40"/>
      <c r="AH37" s="40"/>
      <c r="AI37" s="40"/>
      <c r="AJ37" s="39" t="n">
        <f aca="false">S37*X37*(1-Z37)</f>
        <v>0</v>
      </c>
      <c r="AK37" s="35"/>
      <c r="AL37" s="35"/>
      <c r="AM37" s="35"/>
      <c r="BF37" s="36" t="s">
        <v>54</v>
      </c>
    </row>
    <row r="38" customFormat="false" ht="15.75" hidden="false" customHeight="true" outlineLevel="0" collapsed="false">
      <c r="B38" s="22" t="s">
        <v>134</v>
      </c>
      <c r="C38" s="23" t="n">
        <v>92235</v>
      </c>
      <c r="D38" s="23" t="s">
        <v>135</v>
      </c>
      <c r="E38" s="37" t="n">
        <v>0.00223551</v>
      </c>
      <c r="F38" s="37" t="s">
        <v>136</v>
      </c>
      <c r="G38" s="37" t="s">
        <v>137</v>
      </c>
      <c r="H38" s="41" t="s">
        <v>138</v>
      </c>
      <c r="I38" s="59" t="n">
        <v>703800000</v>
      </c>
      <c r="J38" s="27"/>
      <c r="K38" s="28"/>
      <c r="L38" s="28"/>
      <c r="M38" s="29" t="n">
        <f aca="false">IF(ISNUMBER(BG38),BG38,"")</f>
        <v>22216075960320000</v>
      </c>
      <c r="N38" s="29" t="n">
        <f aca="false">IF(ISNUMBER(M38),LN(2)/M38,0)</f>
        <v>3.12002525467581E-017</v>
      </c>
      <c r="O38" s="31" t="n">
        <f aca="false">10^-24</f>
        <v>1E-024</v>
      </c>
      <c r="P38" s="31" t="n">
        <f aca="false">PI()*$K$97^2*$K$98</f>
        <v>13978830.6714131</v>
      </c>
      <c r="Q38" s="32" t="n">
        <f aca="false">E38/O38</f>
        <v>2.23551E+021</v>
      </c>
      <c r="R38" s="32" t="n">
        <f aca="false">Q38*P38</f>
        <v>3.12498157542508E+028</v>
      </c>
      <c r="S38" s="43" t="n">
        <f aca="false">R38*N38</f>
        <v>975002143572.285</v>
      </c>
      <c r="T38" s="44" t="n">
        <f aca="false">S38*0.000000000027</f>
        <v>26.3250578764517</v>
      </c>
      <c r="U38" s="45" t="str">
        <f aca="false">D38</f>
        <v>Pu, Actinidos</v>
      </c>
      <c r="V38" s="56" t="n">
        <v>3E-005</v>
      </c>
      <c r="W38" s="56" t="n">
        <v>8E-005</v>
      </c>
      <c r="X38" s="57" t="n">
        <v>1</v>
      </c>
      <c r="Y38" s="57" t="n">
        <v>1</v>
      </c>
      <c r="Z38" s="57" t="n">
        <v>200</v>
      </c>
      <c r="AA38" s="57" t="n">
        <v>100</v>
      </c>
      <c r="AB38" s="57" t="n">
        <f aca="false">10^7</f>
        <v>10000000</v>
      </c>
      <c r="AC38" s="57" t="n">
        <f aca="false">2000000</f>
        <v>2000000</v>
      </c>
      <c r="AD38" s="57" t="n">
        <v>100</v>
      </c>
      <c r="AE38" s="57" t="n">
        <v>30</v>
      </c>
      <c r="AF38" s="58" t="n">
        <v>100</v>
      </c>
      <c r="AG38" s="58" t="n">
        <v>100</v>
      </c>
      <c r="AH38" s="57" t="n">
        <v>10</v>
      </c>
      <c r="AI38" s="57" t="n">
        <v>2</v>
      </c>
      <c r="AJ38" s="49" t="n">
        <f aca="false">$S38*(1/X38)*(1/Z38)*(1/AB38)*(1/AD38)*(1/AF38)*(1/AH38)</f>
        <v>0.00487501071786142</v>
      </c>
      <c r="AK38" s="49" t="n">
        <f aca="false">$S38*(1/Y38)*(1/AA38)*(1/AC38)*(1/AE38)*(1/AG38)*(1/AI38)</f>
        <v>0.812501786310237</v>
      </c>
      <c r="AL38" s="49" t="n">
        <f aca="false">AK38*0.000000000027</f>
        <v>2.19375482303764E-011</v>
      </c>
      <c r="AM38" s="49" t="str">
        <f aca="false">B38</f>
        <v>U-235</v>
      </c>
      <c r="AO38" s="50" t="n">
        <f aca="false">$S38</f>
        <v>975002143572.285</v>
      </c>
      <c r="AP38" s="50" t="n">
        <f aca="false">$S38*(1/X38)</f>
        <v>975002143572.285</v>
      </c>
      <c r="AQ38" s="50" t="n">
        <f aca="false">$S38*(1/X38)*(1/Z38)</f>
        <v>4875010717.86142</v>
      </c>
      <c r="AR38" s="50" t="n">
        <f aca="false">$S38*(1/X38)*(1/Z38)*(1/AB38)</f>
        <v>487.501071786142</v>
      </c>
      <c r="AS38" s="50" t="n">
        <f aca="false">$S38*(1/X38)*(1/Z38)*(1/AB38)*(1/AD38)</f>
        <v>4.87501071786142</v>
      </c>
      <c r="AT38" s="51" t="n">
        <f aca="false">$S38*(1/X38)*(1/Z38)*(1/AB38)*(1/AD38)*(1/AF38)</f>
        <v>0.0487501071786142</v>
      </c>
      <c r="AU38" s="50" t="n">
        <f aca="false">$S38*(1/X38)*(1/Z38)*(1/AB38)*(1/AD38)*(1/AF38)*(1/AH38)</f>
        <v>0.00487501071786142</v>
      </c>
      <c r="AX38" s="50" t="n">
        <f aca="false">AO38</f>
        <v>975002143572.285</v>
      </c>
      <c r="AY38" s="50" t="n">
        <f aca="false">AX38*(1/Y38)</f>
        <v>975002143572.285</v>
      </c>
      <c r="AZ38" s="50" t="n">
        <f aca="false">AY38*(1/AA38)</f>
        <v>9750021435.72285</v>
      </c>
      <c r="BA38" s="50" t="n">
        <f aca="false">AZ38*(1/AC38)</f>
        <v>4875.01071786142</v>
      </c>
      <c r="BB38" s="50" t="n">
        <f aca="false">BA38*(1/AE38)</f>
        <v>162.500357262047</v>
      </c>
      <c r="BC38" s="50" t="n">
        <f aca="false">BB38*(1/AG38)</f>
        <v>1.62500357262047</v>
      </c>
      <c r="BD38" s="50" t="n">
        <f aca="false">BC38*(1/AI38)</f>
        <v>0.812501786310237</v>
      </c>
      <c r="BF38" s="36" t="s">
        <v>139</v>
      </c>
      <c r="BG38" s="0" t="n">
        <v>22216075960320000</v>
      </c>
    </row>
    <row r="39" customFormat="false" ht="15.75" hidden="true" customHeight="true" outlineLevel="0" collapsed="false">
      <c r="B39" s="22" t="s">
        <v>140</v>
      </c>
      <c r="C39" s="23" t="n">
        <v>46108</v>
      </c>
      <c r="D39" s="23"/>
      <c r="E39" s="37" t="n">
        <v>1.4544E-005</v>
      </c>
      <c r="F39" s="37"/>
      <c r="G39" s="37" t="s">
        <v>53</v>
      </c>
      <c r="H39" s="25" t="s">
        <v>53</v>
      </c>
      <c r="I39" s="26"/>
      <c r="J39" s="27"/>
      <c r="K39" s="28"/>
      <c r="L39" s="28"/>
      <c r="M39" s="29" t="str">
        <f aca="false">IF(ISNUMBER(BG39),BG39,"")</f>
        <v/>
      </c>
      <c r="N39" s="30" t="n">
        <f aca="false">IF(ISNUMBER(M39),LN(2)/M39,0)</f>
        <v>0</v>
      </c>
      <c r="O39" s="31" t="n">
        <f aca="false">10^-24</f>
        <v>1E-024</v>
      </c>
      <c r="P39" s="31" t="n">
        <f aca="false">PI()*$K$97^2*$K$98</f>
        <v>13978830.6714131</v>
      </c>
      <c r="Q39" s="32" t="n">
        <f aca="false">E39/O39</f>
        <v>1.4544E+019</v>
      </c>
      <c r="R39" s="32" t="n">
        <f aca="false">Q39*P39</f>
        <v>2.03308113285033E+026</v>
      </c>
      <c r="S39" s="32" t="n">
        <f aca="false">R39*N39</f>
        <v>0</v>
      </c>
      <c r="T39" s="32"/>
      <c r="U39" s="32"/>
      <c r="V39" s="33"/>
      <c r="W39" s="33"/>
      <c r="X39" s="34" t="n">
        <v>0.01</v>
      </c>
      <c r="Y39" s="34"/>
      <c r="Z39" s="34" t="n">
        <v>0.999</v>
      </c>
      <c r="AA39" s="34"/>
      <c r="AB39" s="34"/>
      <c r="AC39" s="34"/>
      <c r="AD39" s="34"/>
      <c r="AE39" s="34"/>
      <c r="AF39" s="34"/>
      <c r="AG39" s="34"/>
      <c r="AH39" s="34"/>
      <c r="AI39" s="34"/>
      <c r="AJ39" s="33" t="n">
        <f aca="false">S39*X39*(1-Z39)</f>
        <v>0</v>
      </c>
      <c r="AK39" s="35"/>
      <c r="AL39" s="35"/>
      <c r="AM39" s="35"/>
      <c r="BF39" s="36" t="s">
        <v>54</v>
      </c>
    </row>
    <row r="40" customFormat="false" ht="15.75" hidden="true" customHeight="true" outlineLevel="0" collapsed="false">
      <c r="B40" s="22" t="s">
        <v>141</v>
      </c>
      <c r="C40" s="23" t="n">
        <v>47109</v>
      </c>
      <c r="D40" s="23"/>
      <c r="E40" s="37" t="n">
        <v>7.83917E-006</v>
      </c>
      <c r="F40" s="37"/>
      <c r="G40" s="37" t="s">
        <v>53</v>
      </c>
      <c r="H40" s="25" t="s">
        <v>53</v>
      </c>
      <c r="I40" s="60"/>
      <c r="J40" s="61"/>
      <c r="K40" s="62"/>
      <c r="L40" s="62"/>
      <c r="M40" s="29" t="str">
        <f aca="false">IF(ISNUMBER(BG40),BG40,"")</f>
        <v/>
      </c>
      <c r="N40" s="30" t="n">
        <f aca="false">IF(ISNUMBER(M40),LN(2)/M40,0)</f>
        <v>0</v>
      </c>
      <c r="O40" s="31" t="n">
        <f aca="false">10^-24</f>
        <v>1E-024</v>
      </c>
      <c r="P40" s="31" t="n">
        <f aca="false">PI()*$K$97^2*$K$98</f>
        <v>13978830.6714131</v>
      </c>
      <c r="Q40" s="32" t="n">
        <f aca="false">E40/O40</f>
        <v>7.83917E+018</v>
      </c>
      <c r="R40" s="32" t="n">
        <f aca="false">Q40*P40</f>
        <v>1.09582430034422E+026</v>
      </c>
      <c r="S40" s="32" t="n">
        <f aca="false">R40*N40</f>
        <v>0</v>
      </c>
      <c r="T40" s="32"/>
      <c r="U40" s="32"/>
      <c r="V40" s="32"/>
      <c r="W40" s="32"/>
      <c r="X40" s="38" t="n">
        <v>0.01</v>
      </c>
      <c r="Y40" s="38"/>
      <c r="Z40" s="38" t="n">
        <v>0.999</v>
      </c>
      <c r="AA40" s="38"/>
      <c r="AB40" s="38"/>
      <c r="AC40" s="38"/>
      <c r="AD40" s="38"/>
      <c r="AE40" s="38"/>
      <c r="AF40" s="38"/>
      <c r="AG40" s="38"/>
      <c r="AH40" s="38"/>
      <c r="AI40" s="38"/>
      <c r="AJ40" s="32" t="n">
        <f aca="false">S40*X40*(1-Z40)</f>
        <v>0</v>
      </c>
      <c r="AK40" s="35"/>
      <c r="AL40" s="35"/>
      <c r="AM40" s="35"/>
      <c r="BF40" s="36" t="s">
        <v>54</v>
      </c>
    </row>
    <row r="41" customFormat="false" ht="15.75" hidden="true" customHeight="true" outlineLevel="0" collapsed="false">
      <c r="B41" s="22" t="s">
        <v>142</v>
      </c>
      <c r="C41" s="23" t="n">
        <v>52130</v>
      </c>
      <c r="D41" s="23"/>
      <c r="E41" s="37" t="n">
        <v>4.8028E-005</v>
      </c>
      <c r="F41" s="37"/>
      <c r="G41" s="37" t="s">
        <v>53</v>
      </c>
      <c r="H41" s="25" t="s">
        <v>53</v>
      </c>
      <c r="I41" s="51"/>
      <c r="J41" s="51"/>
      <c r="K41" s="51"/>
      <c r="L41" s="51"/>
      <c r="M41" s="29" t="str">
        <f aca="false">IF(ISNUMBER(BG41),BG41,"")</f>
        <v/>
      </c>
      <c r="N41" s="30" t="n">
        <f aca="false">IF(ISNUMBER(M41),LN(2)/M41,0)</f>
        <v>0</v>
      </c>
      <c r="O41" s="31" t="n">
        <f aca="false">10^-24</f>
        <v>1E-024</v>
      </c>
      <c r="P41" s="31" t="n">
        <f aca="false">PI()*$K$97^2*$K$98</f>
        <v>13978830.6714131</v>
      </c>
      <c r="Q41" s="32" t="n">
        <f aca="false">E41/O41</f>
        <v>4.8028E+019</v>
      </c>
      <c r="R41" s="32" t="n">
        <f aca="false">Q41*P41</f>
        <v>6.71375279486631E+026</v>
      </c>
      <c r="S41" s="32" t="n">
        <f aca="false">R41*N41</f>
        <v>0</v>
      </c>
      <c r="T41" s="32"/>
      <c r="U41" s="32"/>
      <c r="V41" s="39"/>
      <c r="W41" s="39"/>
      <c r="X41" s="40" t="n">
        <v>0.01</v>
      </c>
      <c r="Y41" s="40"/>
      <c r="Z41" s="40" t="n">
        <v>0.999</v>
      </c>
      <c r="AA41" s="40"/>
      <c r="AB41" s="40"/>
      <c r="AC41" s="40"/>
      <c r="AD41" s="40"/>
      <c r="AE41" s="40"/>
      <c r="AF41" s="40"/>
      <c r="AG41" s="40"/>
      <c r="AH41" s="40"/>
      <c r="AI41" s="40"/>
      <c r="AJ41" s="39" t="n">
        <f aca="false">S41*X41*(1-Z41)</f>
        <v>0</v>
      </c>
      <c r="AK41" s="35"/>
      <c r="AL41" s="35"/>
      <c r="AM41" s="35"/>
      <c r="BF41" s="36" t="s">
        <v>143</v>
      </c>
    </row>
    <row r="42" customFormat="false" ht="15.75" hidden="false" customHeight="true" outlineLevel="0" collapsed="false">
      <c r="B42" s="22" t="s">
        <v>144</v>
      </c>
      <c r="C42" s="23" t="n">
        <v>92237</v>
      </c>
      <c r="D42" s="23" t="s">
        <v>135</v>
      </c>
      <c r="E42" s="37" t="n">
        <v>2.84647E-006</v>
      </c>
      <c r="F42" s="37" t="s">
        <v>145</v>
      </c>
      <c r="G42" s="37" t="s">
        <v>146</v>
      </c>
      <c r="H42" s="41" t="s">
        <v>147</v>
      </c>
      <c r="I42" s="63"/>
      <c r="J42" s="64"/>
      <c r="K42" s="65"/>
      <c r="L42" s="65" t="n">
        <v>98</v>
      </c>
      <c r="M42" s="29" t="n">
        <f aca="false">IF(ISNUMBER(BG42),BG42,"")</f>
        <v>583372.8</v>
      </c>
      <c r="N42" s="29" t="n">
        <f aca="false">IF(ISNUMBER(M42),LN(2)/M42,0)</f>
        <v>1.18817192121392E-006</v>
      </c>
      <c r="O42" s="31" t="n">
        <f aca="false">10^-24</f>
        <v>1E-024</v>
      </c>
      <c r="P42" s="31" t="n">
        <f aca="false">PI()*$K$97^2*$K$98</f>
        <v>13978830.6714131</v>
      </c>
      <c r="Q42" s="32" t="n">
        <f aca="false">E42/O42</f>
        <v>2.84647E+018</v>
      </c>
      <c r="R42" s="32" t="n">
        <f aca="false">Q42*P42</f>
        <v>3.97903221412574E+025</v>
      </c>
      <c r="S42" s="43" t="n">
        <f aca="false">R42*N42</f>
        <v>4.72777435042987E+019</v>
      </c>
      <c r="T42" s="44" t="n">
        <f aca="false">S42*0.000000000027</f>
        <v>1276499074.61606</v>
      </c>
      <c r="U42" s="45" t="str">
        <f aca="false">D42</f>
        <v>Pu, Actinidos</v>
      </c>
      <c r="V42" s="56" t="n">
        <v>3E-005</v>
      </c>
      <c r="W42" s="56" t="n">
        <v>8E-005</v>
      </c>
      <c r="X42" s="57" t="n">
        <v>1</v>
      </c>
      <c r="Y42" s="57" t="n">
        <v>1</v>
      </c>
      <c r="Z42" s="57" t="n">
        <v>200</v>
      </c>
      <c r="AA42" s="57" t="n">
        <v>100</v>
      </c>
      <c r="AB42" s="57" t="n">
        <f aca="false">10^7</f>
        <v>10000000</v>
      </c>
      <c r="AC42" s="57" t="n">
        <f aca="false">2000000</f>
        <v>2000000</v>
      </c>
      <c r="AD42" s="57" t="n">
        <v>100</v>
      </c>
      <c r="AE42" s="57" t="n">
        <v>30</v>
      </c>
      <c r="AF42" s="58" t="n">
        <v>100</v>
      </c>
      <c r="AG42" s="58" t="n">
        <v>100</v>
      </c>
      <c r="AH42" s="57" t="n">
        <v>10</v>
      </c>
      <c r="AI42" s="57" t="n">
        <v>2</v>
      </c>
      <c r="AJ42" s="49" t="n">
        <f aca="false">$S42*(1/X42)*(1/Z42)*(1/AB42)*(1/AD42)*(1/AF42)*(1/AH42)</f>
        <v>236388.717521493</v>
      </c>
      <c r="AK42" s="49" t="n">
        <f aca="false">$S42*(1/Y42)*(1/AA42)*(1/AC42)*(1/AE42)*(1/AG42)*(1/AI42)</f>
        <v>39398119.5869155</v>
      </c>
      <c r="AL42" s="49" t="n">
        <f aca="false">AK42*0.000000000027</f>
        <v>0.00106374922884672</v>
      </c>
      <c r="AM42" s="49" t="str">
        <f aca="false">B42</f>
        <v>U-237</v>
      </c>
      <c r="AO42" s="50" t="n">
        <f aca="false">$S42</f>
        <v>4.72777435042987E+019</v>
      </c>
      <c r="AP42" s="50" t="n">
        <f aca="false">$S42*(1/X42)</f>
        <v>4.72777435042987E+019</v>
      </c>
      <c r="AQ42" s="50" t="n">
        <f aca="false">$S42*(1/X42)*(1/Z42)</f>
        <v>2.36388717521493E+017</v>
      </c>
      <c r="AR42" s="50" t="n">
        <f aca="false">$S42*(1/X42)*(1/Z42)*(1/AB42)</f>
        <v>23638871752.1493</v>
      </c>
      <c r="AS42" s="50" t="n">
        <f aca="false">$S42*(1/X42)*(1/Z42)*(1/AB42)*(1/AD42)</f>
        <v>236388717.521493</v>
      </c>
      <c r="AT42" s="51" t="n">
        <f aca="false">$S42*(1/X42)*(1/Z42)*(1/AB42)*(1/AD42)*(1/AF42)</f>
        <v>2363887.17521493</v>
      </c>
      <c r="AU42" s="50" t="n">
        <f aca="false">$S42*(1/X42)*(1/Z42)*(1/AB42)*(1/AD42)*(1/AF42)*(1/AH42)</f>
        <v>236388.717521493</v>
      </c>
      <c r="AX42" s="50" t="n">
        <f aca="false">AO42</f>
        <v>4.72777435042987E+019</v>
      </c>
      <c r="AY42" s="50" t="n">
        <f aca="false">AX42*(1/Y42)</f>
        <v>4.72777435042987E+019</v>
      </c>
      <c r="AZ42" s="50" t="n">
        <f aca="false">AY42*(1/AA42)</f>
        <v>4.72777435042987E+017</v>
      </c>
      <c r="BA42" s="50" t="n">
        <f aca="false">AZ42*(1/AC42)</f>
        <v>236388717521.493</v>
      </c>
      <c r="BB42" s="50" t="n">
        <f aca="false">BA42*(1/AE42)</f>
        <v>7879623917.38311</v>
      </c>
      <c r="BC42" s="50" t="n">
        <f aca="false">BB42*(1/AG42)</f>
        <v>78796239.1738311</v>
      </c>
      <c r="BD42" s="50" t="n">
        <f aca="false">BC42*(1/AI42)</f>
        <v>39398119.5869155</v>
      </c>
      <c r="BF42" s="36" t="s">
        <v>148</v>
      </c>
      <c r="BG42" s="0" t="n">
        <v>583372.8</v>
      </c>
    </row>
    <row r="43" customFormat="false" ht="15.75" hidden="true" customHeight="true" outlineLevel="0" collapsed="false">
      <c r="B43" s="22" t="s">
        <v>149</v>
      </c>
      <c r="C43" s="23" t="n">
        <v>54131</v>
      </c>
      <c r="D43" s="23"/>
      <c r="E43" s="37" t="n">
        <v>5.39562E-005</v>
      </c>
      <c r="F43" s="37"/>
      <c r="G43" s="37" t="s">
        <v>53</v>
      </c>
      <c r="H43" s="25" t="s">
        <v>53</v>
      </c>
      <c r="I43" s="26"/>
      <c r="J43" s="27"/>
      <c r="K43" s="28"/>
      <c r="L43" s="28"/>
      <c r="M43" s="29" t="str">
        <f aca="false">IF(ISNUMBER(BG43),BG43,"")</f>
        <v/>
      </c>
      <c r="N43" s="30" t="n">
        <f aca="false">IF(ISNUMBER(M43),LN(2)/M43,0)</f>
        <v>0</v>
      </c>
      <c r="O43" s="31" t="n">
        <f aca="false">10^-24</f>
        <v>1E-024</v>
      </c>
      <c r="P43" s="31" t="n">
        <f aca="false">PI()*$K$97^2*$K$98</f>
        <v>13978830.6714131</v>
      </c>
      <c r="Q43" s="32" t="n">
        <f aca="false">E43/O43</f>
        <v>5.39562E+019</v>
      </c>
      <c r="R43" s="32" t="n">
        <f aca="false">Q43*P43</f>
        <v>7.54244583472902E+026</v>
      </c>
      <c r="S43" s="32" t="n">
        <f aca="false">R43*N43</f>
        <v>0</v>
      </c>
      <c r="T43" s="32"/>
      <c r="U43" s="32"/>
      <c r="V43" s="33"/>
      <c r="W43" s="33"/>
      <c r="X43" s="34" t="n">
        <v>0.01</v>
      </c>
      <c r="Y43" s="34"/>
      <c r="Z43" s="34" t="n">
        <v>0.999</v>
      </c>
      <c r="AA43" s="34"/>
      <c r="AB43" s="34"/>
      <c r="AC43" s="34"/>
      <c r="AD43" s="34"/>
      <c r="AE43" s="34"/>
      <c r="AF43" s="34"/>
      <c r="AG43" s="34"/>
      <c r="AH43" s="34"/>
      <c r="AI43" s="34"/>
      <c r="AJ43" s="33" t="n">
        <f aca="false">S43*X43*(1-Z43)</f>
        <v>0</v>
      </c>
      <c r="AK43" s="35"/>
      <c r="AL43" s="35"/>
      <c r="AM43" s="35"/>
      <c r="BF43" s="36" t="s">
        <v>54</v>
      </c>
    </row>
    <row r="44" customFormat="false" ht="15.75" hidden="true" customHeight="true" outlineLevel="0" collapsed="false">
      <c r="B44" s="22" t="s">
        <v>150</v>
      </c>
      <c r="C44" s="23" t="n">
        <v>54132</v>
      </c>
      <c r="D44" s="23"/>
      <c r="E44" s="37" t="n">
        <v>0.000131549</v>
      </c>
      <c r="F44" s="37"/>
      <c r="G44" s="37" t="s">
        <v>53</v>
      </c>
      <c r="H44" s="25" t="s">
        <v>53</v>
      </c>
      <c r="I44" s="26"/>
      <c r="J44" s="27"/>
      <c r="K44" s="28"/>
      <c r="L44" s="28"/>
      <c r="M44" s="29" t="str">
        <f aca="false">IF(ISNUMBER(BG44),BG44,"")</f>
        <v/>
      </c>
      <c r="N44" s="30" t="n">
        <f aca="false">IF(ISNUMBER(M44),LN(2)/M44,0)</f>
        <v>0</v>
      </c>
      <c r="O44" s="31" t="n">
        <f aca="false">10^-24</f>
        <v>1E-024</v>
      </c>
      <c r="P44" s="31" t="n">
        <f aca="false">PI()*$K$97^2*$K$98</f>
        <v>13978830.6714131</v>
      </c>
      <c r="Q44" s="32" t="n">
        <f aca="false">E44/O44</f>
        <v>1.31549E+020</v>
      </c>
      <c r="R44" s="32" t="n">
        <f aca="false">Q44*P44</f>
        <v>1.83890119599373E+027</v>
      </c>
      <c r="S44" s="32" t="n">
        <f aca="false">R44*N44</f>
        <v>0</v>
      </c>
      <c r="T44" s="32"/>
      <c r="U44" s="32"/>
      <c r="V44" s="39"/>
      <c r="W44" s="39"/>
      <c r="X44" s="40" t="n">
        <v>0.01</v>
      </c>
      <c r="Y44" s="40"/>
      <c r="Z44" s="40" t="n">
        <v>0.999</v>
      </c>
      <c r="AA44" s="40"/>
      <c r="AB44" s="40"/>
      <c r="AC44" s="40"/>
      <c r="AD44" s="40"/>
      <c r="AE44" s="40"/>
      <c r="AF44" s="40"/>
      <c r="AG44" s="40"/>
      <c r="AH44" s="40"/>
      <c r="AI44" s="40"/>
      <c r="AJ44" s="39" t="n">
        <f aca="false">S44*X44*(1-Z44)</f>
        <v>0</v>
      </c>
      <c r="AK44" s="35"/>
      <c r="AL44" s="35"/>
      <c r="AM44" s="35"/>
      <c r="BF44" s="36" t="s">
        <v>54</v>
      </c>
    </row>
    <row r="45" customFormat="false" ht="15.75" hidden="false" customHeight="true" outlineLevel="0" collapsed="false">
      <c r="B45" s="22" t="s">
        <v>151</v>
      </c>
      <c r="C45" s="23" t="n">
        <v>92238</v>
      </c>
      <c r="D45" s="23" t="s">
        <v>135</v>
      </c>
      <c r="E45" s="37" t="n">
        <v>0.0179355</v>
      </c>
      <c r="F45" s="37" t="s">
        <v>152</v>
      </c>
      <c r="G45" s="37" t="s">
        <v>153</v>
      </c>
      <c r="H45" s="41" t="s">
        <v>154</v>
      </c>
      <c r="I45" s="59" t="n">
        <v>4468000000</v>
      </c>
      <c r="J45" s="27"/>
      <c r="K45" s="28"/>
      <c r="L45" s="28"/>
      <c r="M45" s="29" t="n">
        <f aca="false">IF(ISNUMBER(BG45),BG45,"")</f>
        <v>1.4083856109504E+017</v>
      </c>
      <c r="N45" s="29" t="n">
        <f aca="false">IF(ISNUMBER(M45),LN(2)/M45,0)</f>
        <v>4.92157243847585E-018</v>
      </c>
      <c r="O45" s="31" t="n">
        <f aca="false">10^-24</f>
        <v>1E-024</v>
      </c>
      <c r="P45" s="31" t="n">
        <f aca="false">PI()*$K$97^2*$K$98</f>
        <v>13978830.6714131</v>
      </c>
      <c r="Q45" s="32" t="n">
        <f aca="false">E45/O45</f>
        <v>1.79355E+022</v>
      </c>
      <c r="R45" s="32" t="n">
        <f aca="false">Q45*P45</f>
        <v>2.5071731750713E+029</v>
      </c>
      <c r="S45" s="43" t="n">
        <f aca="false">R45*N45</f>
        <v>1233923439691.69</v>
      </c>
      <c r="T45" s="44" t="n">
        <f aca="false">S45*0.000000000027</f>
        <v>33.3159328716757</v>
      </c>
      <c r="U45" s="45" t="str">
        <f aca="false">D45</f>
        <v>Pu, Actinidos</v>
      </c>
      <c r="V45" s="56" t="n">
        <v>3E-005</v>
      </c>
      <c r="W45" s="56" t="n">
        <v>8E-005</v>
      </c>
      <c r="X45" s="57" t="n">
        <v>1</v>
      </c>
      <c r="Y45" s="57" t="n">
        <v>1</v>
      </c>
      <c r="Z45" s="57" t="n">
        <v>200</v>
      </c>
      <c r="AA45" s="57" t="n">
        <v>100</v>
      </c>
      <c r="AB45" s="57" t="n">
        <f aca="false">10^7</f>
        <v>10000000</v>
      </c>
      <c r="AC45" s="57" t="n">
        <f aca="false">2000000</f>
        <v>2000000</v>
      </c>
      <c r="AD45" s="57" t="n">
        <v>100</v>
      </c>
      <c r="AE45" s="57" t="n">
        <v>30</v>
      </c>
      <c r="AF45" s="58" t="n">
        <v>100</v>
      </c>
      <c r="AG45" s="58" t="n">
        <v>100</v>
      </c>
      <c r="AH45" s="57" t="n">
        <v>10</v>
      </c>
      <c r="AI45" s="57" t="n">
        <v>2</v>
      </c>
      <c r="AJ45" s="49" t="n">
        <f aca="false">$S45*(1/X45)*(1/Z45)*(1/AB45)*(1/AD45)*(1/AF45)*(1/AH45)</f>
        <v>0.00616961719845845</v>
      </c>
      <c r="AK45" s="49" t="n">
        <f aca="false">$S45*(1/Y45)*(1/AA45)*(1/AC45)*(1/AE45)*(1/AG45)*(1/AI45)</f>
        <v>1.02826953307641</v>
      </c>
      <c r="AL45" s="49" t="n">
        <f aca="false">AK45*0.000000000027</f>
        <v>2.7763277393063E-011</v>
      </c>
      <c r="AM45" s="49" t="str">
        <f aca="false">B45</f>
        <v>U-238</v>
      </c>
      <c r="AO45" s="50" t="n">
        <f aca="false">$S45</f>
        <v>1233923439691.69</v>
      </c>
      <c r="AP45" s="50" t="n">
        <f aca="false">$S45*(1/X45)</f>
        <v>1233923439691.69</v>
      </c>
      <c r="AQ45" s="50" t="n">
        <f aca="false">$S45*(1/X45)*(1/Z45)</f>
        <v>6169617198.45845</v>
      </c>
      <c r="AR45" s="50" t="n">
        <f aca="false">$S45*(1/X45)*(1/Z45)*(1/AB45)</f>
        <v>616.961719845845</v>
      </c>
      <c r="AS45" s="50" t="n">
        <f aca="false">$S45*(1/X45)*(1/Z45)*(1/AB45)*(1/AD45)</f>
        <v>6.16961719845845</v>
      </c>
      <c r="AT45" s="51" t="n">
        <f aca="false">$S45*(1/X45)*(1/Z45)*(1/AB45)*(1/AD45)*(1/AF45)</f>
        <v>0.0616961719845845</v>
      </c>
      <c r="AU45" s="50" t="n">
        <f aca="false">$S45*(1/X45)*(1/Z45)*(1/AB45)*(1/AD45)*(1/AF45)*(1/AH45)</f>
        <v>0.00616961719845845</v>
      </c>
      <c r="AX45" s="50" t="n">
        <f aca="false">AO45</f>
        <v>1233923439691.69</v>
      </c>
      <c r="AY45" s="50" t="n">
        <f aca="false">AX45*(1/Y45)</f>
        <v>1233923439691.69</v>
      </c>
      <c r="AZ45" s="50" t="n">
        <f aca="false">AY45*(1/AA45)</f>
        <v>12339234396.9169</v>
      </c>
      <c r="BA45" s="50" t="n">
        <f aca="false">AZ45*(1/AC45)</f>
        <v>6169.61719845845</v>
      </c>
      <c r="BB45" s="50" t="n">
        <f aca="false">BA45*(1/AE45)</f>
        <v>205.653906615282</v>
      </c>
      <c r="BC45" s="50" t="n">
        <f aca="false">BB45*(1/AG45)</f>
        <v>2.05653906615282</v>
      </c>
      <c r="BD45" s="50" t="n">
        <f aca="false">BC45*(1/AI45)</f>
        <v>1.02826953307641</v>
      </c>
      <c r="BF45" s="36" t="s">
        <v>155</v>
      </c>
      <c r="BG45" s="0" t="n">
        <v>1.4083856109504E+017</v>
      </c>
    </row>
    <row r="46" customFormat="false" ht="15.75" hidden="true" customHeight="true" outlineLevel="0" collapsed="false">
      <c r="B46" s="22" t="s">
        <v>156</v>
      </c>
      <c r="C46" s="23" t="n">
        <v>54134</v>
      </c>
      <c r="D46" s="23"/>
      <c r="E46" s="37" t="n">
        <v>0.000198858</v>
      </c>
      <c r="F46" s="37"/>
      <c r="G46" s="37" t="s">
        <v>53</v>
      </c>
      <c r="H46" s="25" t="s">
        <v>53</v>
      </c>
      <c r="I46" s="26"/>
      <c r="J46" s="27"/>
      <c r="K46" s="28"/>
      <c r="L46" s="28"/>
      <c r="M46" s="29" t="str">
        <f aca="false">IF(ISNUMBER(BG46),BG46,"")</f>
        <v/>
      </c>
      <c r="N46" s="30" t="n">
        <f aca="false">IF(ISNUMBER(M46),LN(2)/M46,0)</f>
        <v>0</v>
      </c>
      <c r="O46" s="31" t="n">
        <f aca="false">10^-24</f>
        <v>1E-024</v>
      </c>
      <c r="P46" s="31" t="n">
        <f aca="false">PI()*$K$97^2*$K$98</f>
        <v>13978830.6714131</v>
      </c>
      <c r="Q46" s="32" t="n">
        <f aca="false">E46/O46</f>
        <v>1.98858E+020</v>
      </c>
      <c r="R46" s="32" t="n">
        <f aca="false">Q46*P46</f>
        <v>2.77980230965588E+027</v>
      </c>
      <c r="S46" s="32" t="n">
        <f aca="false">R46*N46</f>
        <v>0</v>
      </c>
      <c r="T46" s="32"/>
      <c r="U46" s="32"/>
      <c r="V46" s="54"/>
      <c r="W46" s="54"/>
      <c r="X46" s="55" t="n">
        <v>0.01</v>
      </c>
      <c r="Y46" s="55"/>
      <c r="Z46" s="55" t="n">
        <v>0.999</v>
      </c>
      <c r="AA46" s="55"/>
      <c r="AB46" s="55"/>
      <c r="AC46" s="55"/>
      <c r="AD46" s="55"/>
      <c r="AE46" s="55"/>
      <c r="AF46" s="55"/>
      <c r="AG46" s="55"/>
      <c r="AH46" s="55"/>
      <c r="AI46" s="55"/>
      <c r="AJ46" s="54" t="n">
        <f aca="false">S46*X46*(1-Z46)</f>
        <v>0</v>
      </c>
      <c r="AK46" s="35"/>
      <c r="AL46" s="35"/>
      <c r="AM46" s="35"/>
      <c r="BF46" s="36" t="s">
        <v>54</v>
      </c>
    </row>
    <row r="47" customFormat="false" ht="15.75" hidden="false" customHeight="true" outlineLevel="0" collapsed="false">
      <c r="B47" s="22" t="s">
        <v>157</v>
      </c>
      <c r="C47" s="23" t="n">
        <v>93237</v>
      </c>
      <c r="D47" s="23" t="s">
        <v>135</v>
      </c>
      <c r="E47" s="37" t="n">
        <v>3.07925E-005</v>
      </c>
      <c r="F47" s="37" t="s">
        <v>158</v>
      </c>
      <c r="G47" s="37" t="s">
        <v>159</v>
      </c>
      <c r="H47" s="22" t="s">
        <v>160</v>
      </c>
      <c r="I47" s="59"/>
      <c r="J47" s="27" t="n">
        <v>2.3</v>
      </c>
      <c r="K47" s="28"/>
      <c r="L47" s="28"/>
      <c r="M47" s="29" t="n">
        <f aca="false">IF(ISNUMBER(BG47),BG47,"")</f>
        <v>67658049515520</v>
      </c>
      <c r="N47" s="29" t="n">
        <f aca="false">IF(ISNUMBER(M47),LN(2)/M47,0)</f>
        <v>1.02448590452041E-014</v>
      </c>
      <c r="O47" s="31" t="n">
        <f aca="false">10^-24</f>
        <v>1E-024</v>
      </c>
      <c r="P47" s="31" t="n">
        <f aca="false">PI()*$K$97^2*$K$98</f>
        <v>13978830.6714131</v>
      </c>
      <c r="Q47" s="32" t="n">
        <f aca="false">E47/O47</f>
        <v>3.07925E+019</v>
      </c>
      <c r="R47" s="32" t="n">
        <f aca="false">Q47*P47</f>
        <v>4.30443143449489E+026</v>
      </c>
      <c r="S47" s="43" t="n">
        <f aca="false">R47*N47</f>
        <v>4409829331614.61</v>
      </c>
      <c r="T47" s="44" t="n">
        <f aca="false">S47*0.000000000027</f>
        <v>119.065391953594</v>
      </c>
      <c r="U47" s="45" t="str">
        <f aca="false">D47</f>
        <v>Pu, Actinidos</v>
      </c>
      <c r="V47" s="56" t="n">
        <v>3E-005</v>
      </c>
      <c r="W47" s="56" t="n">
        <v>8E-005</v>
      </c>
      <c r="X47" s="57" t="n">
        <v>1</v>
      </c>
      <c r="Y47" s="57" t="n">
        <v>1</v>
      </c>
      <c r="Z47" s="57" t="n">
        <v>200</v>
      </c>
      <c r="AA47" s="57" t="n">
        <v>100</v>
      </c>
      <c r="AB47" s="57" t="n">
        <f aca="false">10^7</f>
        <v>10000000</v>
      </c>
      <c r="AC47" s="57" t="n">
        <f aca="false">2000000</f>
        <v>2000000</v>
      </c>
      <c r="AD47" s="57" t="n">
        <v>100</v>
      </c>
      <c r="AE47" s="57" t="n">
        <v>30</v>
      </c>
      <c r="AF47" s="58" t="n">
        <v>100</v>
      </c>
      <c r="AG47" s="58" t="n">
        <v>100</v>
      </c>
      <c r="AH47" s="57" t="n">
        <v>10</v>
      </c>
      <c r="AI47" s="57" t="n">
        <v>2</v>
      </c>
      <c r="AJ47" s="49" t="n">
        <f aca="false">$S47*(1/X47)*(1/Z47)*(1/AB47)*(1/AD47)*(1/AF47)*(1/AH47)</f>
        <v>0.022049146658073</v>
      </c>
      <c r="AK47" s="49" t="n">
        <f aca="false">$S47*(1/Y47)*(1/AA47)*(1/AC47)*(1/AE47)*(1/AG47)*(1/AI47)</f>
        <v>3.67485777634551</v>
      </c>
      <c r="AL47" s="49" t="n">
        <f aca="false">AK47*0.000000000027</f>
        <v>9.92211599613287E-011</v>
      </c>
      <c r="AM47" s="49" t="str">
        <f aca="false">B47</f>
        <v>Np-237</v>
      </c>
      <c r="AO47" s="50" t="n">
        <f aca="false">$S47</f>
        <v>4409829331614.61</v>
      </c>
      <c r="AP47" s="50" t="n">
        <f aca="false">$S47*(1/X47)</f>
        <v>4409829331614.61</v>
      </c>
      <c r="AQ47" s="50" t="n">
        <f aca="false">$S47*(1/X47)*(1/Z47)</f>
        <v>22049146658.073</v>
      </c>
      <c r="AR47" s="50" t="n">
        <f aca="false">$S47*(1/X47)*(1/Z47)*(1/AB47)</f>
        <v>2204.9146658073</v>
      </c>
      <c r="AS47" s="50" t="n">
        <f aca="false">$S47*(1/X47)*(1/Z47)*(1/AB47)*(1/AD47)</f>
        <v>22.049146658073</v>
      </c>
      <c r="AT47" s="51" t="n">
        <f aca="false">$S47*(1/X47)*(1/Z47)*(1/AB47)*(1/AD47)*(1/AF47)</f>
        <v>0.22049146658073</v>
      </c>
      <c r="AU47" s="50" t="n">
        <f aca="false">$S47*(1/X47)*(1/Z47)*(1/AB47)*(1/AD47)*(1/AF47)*(1/AH47)</f>
        <v>0.022049146658073</v>
      </c>
      <c r="AX47" s="50" t="n">
        <f aca="false">AO47</f>
        <v>4409829331614.61</v>
      </c>
      <c r="AY47" s="50" t="n">
        <f aca="false">AX47*(1/Y47)</f>
        <v>4409829331614.61</v>
      </c>
      <c r="AZ47" s="50" t="n">
        <f aca="false">AY47*(1/AA47)</f>
        <v>44098293316.1461</v>
      </c>
      <c r="BA47" s="50" t="n">
        <f aca="false">AZ47*(1/AC47)</f>
        <v>22049.146658073</v>
      </c>
      <c r="BB47" s="50" t="n">
        <f aca="false">BA47*(1/AE47)</f>
        <v>734.971555269101</v>
      </c>
      <c r="BC47" s="50" t="n">
        <f aca="false">BB47*(1/AG47)</f>
        <v>7.34971555269101</v>
      </c>
      <c r="BD47" s="50" t="n">
        <f aca="false">BC47*(1/AI47)</f>
        <v>3.67485777634551</v>
      </c>
      <c r="BF47" s="36" t="s">
        <v>161</v>
      </c>
      <c r="BG47" s="0" t="n">
        <v>67658049515520</v>
      </c>
    </row>
    <row r="48" customFormat="false" ht="15.75" hidden="true" customHeight="true" outlineLevel="0" collapsed="false">
      <c r="B48" s="22" t="s">
        <v>162</v>
      </c>
      <c r="C48" s="23" t="n">
        <v>54136</v>
      </c>
      <c r="D48" s="23"/>
      <c r="E48" s="37" t="n">
        <v>0.000307837</v>
      </c>
      <c r="F48" s="37"/>
      <c r="G48" s="37" t="s">
        <v>53</v>
      </c>
      <c r="H48" s="25" t="s">
        <v>53</v>
      </c>
      <c r="I48" s="26"/>
      <c r="J48" s="27"/>
      <c r="K48" s="28"/>
      <c r="L48" s="28"/>
      <c r="M48" s="29" t="str">
        <f aca="false">IF(ISNUMBER(BG48),BG48,"")</f>
        <v/>
      </c>
      <c r="N48" s="30" t="n">
        <f aca="false">IF(ISNUMBER(M48),LN(2)/M48,0)</f>
        <v>0</v>
      </c>
      <c r="O48" s="31" t="n">
        <f aca="false">10^-24</f>
        <v>1E-024</v>
      </c>
      <c r="P48" s="31" t="n">
        <f aca="false">PI()*$K$97^2*$K$98</f>
        <v>13978830.6714131</v>
      </c>
      <c r="Q48" s="32" t="n">
        <f aca="false">E48/O48</f>
        <v>3.07837E+020</v>
      </c>
      <c r="R48" s="32" t="n">
        <f aca="false">Q48*P48</f>
        <v>4.30320129739581E+027</v>
      </c>
      <c r="S48" s="32" t="n">
        <f aca="false">R48*N48</f>
        <v>0</v>
      </c>
      <c r="T48" s="32"/>
      <c r="U48" s="32"/>
      <c r="V48" s="33"/>
      <c r="W48" s="33"/>
      <c r="X48" s="34" t="n">
        <v>0.01</v>
      </c>
      <c r="Y48" s="34"/>
      <c r="Z48" s="34" t="n">
        <v>0.999</v>
      </c>
      <c r="AA48" s="34"/>
      <c r="AB48" s="34"/>
      <c r="AC48" s="34"/>
      <c r="AD48" s="34"/>
      <c r="AE48" s="34"/>
      <c r="AF48" s="34"/>
      <c r="AG48" s="34"/>
      <c r="AH48" s="34"/>
      <c r="AI48" s="34"/>
      <c r="AJ48" s="33" t="n">
        <f aca="false">S48*X48*(1-Z48)</f>
        <v>0</v>
      </c>
      <c r="AK48" s="35"/>
      <c r="AL48" s="35"/>
      <c r="AM48" s="35"/>
      <c r="BF48" s="36" t="s">
        <v>163</v>
      </c>
    </row>
    <row r="49" customFormat="false" ht="15.75" hidden="true" customHeight="true" outlineLevel="0" collapsed="false">
      <c r="B49" s="22" t="s">
        <v>164</v>
      </c>
      <c r="C49" s="23" t="n">
        <v>55133</v>
      </c>
      <c r="D49" s="23"/>
      <c r="E49" s="37" t="n">
        <v>0.000142793</v>
      </c>
      <c r="F49" s="37"/>
      <c r="G49" s="37" t="s">
        <v>53</v>
      </c>
      <c r="H49" s="25" t="s">
        <v>53</v>
      </c>
      <c r="I49" s="26"/>
      <c r="J49" s="27"/>
      <c r="K49" s="28"/>
      <c r="L49" s="28"/>
      <c r="M49" s="29" t="str">
        <f aca="false">IF(ISNUMBER(BG49),BG49,"")</f>
        <v/>
      </c>
      <c r="N49" s="30" t="n">
        <f aca="false">IF(ISNUMBER(M49),LN(2)/M49,0)</f>
        <v>0</v>
      </c>
      <c r="O49" s="31" t="n">
        <f aca="false">10^-24</f>
        <v>1E-024</v>
      </c>
      <c r="P49" s="31" t="n">
        <f aca="false">PI()*$K$97^2*$K$98</f>
        <v>13978830.6714131</v>
      </c>
      <c r="Q49" s="32" t="n">
        <f aca="false">E49/O49</f>
        <v>1.42793E+020</v>
      </c>
      <c r="R49" s="32" t="n">
        <f aca="false">Q49*P49</f>
        <v>1.9960791680631E+027</v>
      </c>
      <c r="S49" s="32" t="n">
        <f aca="false">R49*N49</f>
        <v>0</v>
      </c>
      <c r="T49" s="32"/>
      <c r="U49" s="32"/>
      <c r="V49" s="32"/>
      <c r="W49" s="32"/>
      <c r="X49" s="38" t="n">
        <v>0.01</v>
      </c>
      <c r="Y49" s="38"/>
      <c r="Z49" s="38" t="n">
        <v>0.999</v>
      </c>
      <c r="AA49" s="38"/>
      <c r="AB49" s="38"/>
      <c r="AC49" s="38"/>
      <c r="AD49" s="38"/>
      <c r="AE49" s="38"/>
      <c r="AF49" s="38"/>
      <c r="AG49" s="38"/>
      <c r="AH49" s="38"/>
      <c r="AI49" s="38"/>
      <c r="AJ49" s="32" t="n">
        <f aca="false">S49*X49*(1-Z49)</f>
        <v>0</v>
      </c>
      <c r="AK49" s="35"/>
      <c r="AL49" s="35"/>
      <c r="AM49" s="35"/>
      <c r="BF49" s="36" t="s">
        <v>54</v>
      </c>
    </row>
    <row r="50" customFormat="false" ht="15.75" hidden="true" customHeight="true" outlineLevel="0" collapsed="false">
      <c r="B50" s="22" t="s">
        <v>165</v>
      </c>
      <c r="C50" s="23" t="n">
        <v>55134</v>
      </c>
      <c r="D50" s="23" t="s">
        <v>69</v>
      </c>
      <c r="E50" s="37" t="n">
        <v>1.72686E-005</v>
      </c>
      <c r="F50" s="37" t="s">
        <v>166</v>
      </c>
      <c r="G50" s="37" t="s">
        <v>167</v>
      </c>
      <c r="H50" s="22" t="s">
        <v>168</v>
      </c>
      <c r="I50" s="26"/>
      <c r="J50" s="27"/>
      <c r="K50" s="28"/>
      <c r="L50" s="28"/>
      <c r="M50" s="29" t="n">
        <f aca="false">IF(ISNUMBER(BG50),BG50,"")</f>
        <v>65165052.3552</v>
      </c>
      <c r="N50" s="30" t="n">
        <f aca="false">IF(ISNUMBER(M50),LN(2)/M50,0)</f>
        <v>1.0636793120057E-008</v>
      </c>
      <c r="O50" s="31" t="n">
        <f aca="false">10^-24</f>
        <v>1E-024</v>
      </c>
      <c r="P50" s="31" t="n">
        <f aca="false">PI()*$K$97^2*$K$98</f>
        <v>13978830.6714131</v>
      </c>
      <c r="Q50" s="32" t="n">
        <f aca="false">E50/O50</f>
        <v>1.72686E+019</v>
      </c>
      <c r="R50" s="32" t="n">
        <f aca="false">Q50*P50</f>
        <v>2.41394835332365E+026</v>
      </c>
      <c r="S50" s="32" t="n">
        <f aca="false">R50*N50</f>
        <v>2.56766692368059E+018</v>
      </c>
      <c r="T50" s="32"/>
      <c r="U50" s="32"/>
      <c r="V50" s="39" t="n">
        <v>3E-005</v>
      </c>
      <c r="W50" s="39" t="n">
        <v>8E-005</v>
      </c>
      <c r="X50" s="40" t="n">
        <v>1</v>
      </c>
      <c r="Y50" s="40" t="n">
        <v>1</v>
      </c>
      <c r="Z50" s="40" t="n">
        <v>1</v>
      </c>
      <c r="AA50" s="40" t="n">
        <v>1</v>
      </c>
      <c r="AB50" s="40" t="n">
        <f aca="false">10^7</f>
        <v>10000000</v>
      </c>
      <c r="AC50" s="40" t="n">
        <f aca="false">2000000</f>
        <v>2000000</v>
      </c>
      <c r="AD50" s="40" t="n">
        <v>10</v>
      </c>
      <c r="AE50" s="40" t="n">
        <v>3</v>
      </c>
      <c r="AF50" s="40" t="n">
        <v>100</v>
      </c>
      <c r="AG50" s="40" t="n">
        <v>100</v>
      </c>
      <c r="AH50" s="40" t="n">
        <v>10</v>
      </c>
      <c r="AI50" s="40" t="n">
        <v>2</v>
      </c>
      <c r="AJ50" s="39" t="n">
        <f aca="false">$S50*(1/X50)*(1/Z50)*(1/AB50)*(1/AD50)*(1/AF50)*(1/AH50)</f>
        <v>25676669.2368059</v>
      </c>
      <c r="AK50" s="35" t="n">
        <f aca="false">$S50*(1/Y50)*(1/AA50)*(1/AC50)*(1/AE50)*(1/AG50)*(1/AI50)</f>
        <v>2139722436.40049</v>
      </c>
      <c r="AL50" s="35" t="n">
        <f aca="false">AK50*0.000000000027</f>
        <v>0.0577725057828133</v>
      </c>
      <c r="AM50" s="35" t="str">
        <f aca="false">B50</f>
        <v>Cs-134</v>
      </c>
      <c r="AO50" s="66" t="n">
        <f aca="false">$S50</f>
        <v>2.56766692368059E+018</v>
      </c>
      <c r="AP50" s="36" t="n">
        <f aca="false">$S50*(1/X50)</f>
        <v>2.56766692368059E+018</v>
      </c>
      <c r="AQ50" s="36" t="n">
        <f aca="false">$S50*(1/X50)*(1/Z50)</f>
        <v>2.56766692368059E+018</v>
      </c>
      <c r="AR50" s="36" t="n">
        <f aca="false">$S50*(1/X50)*(1/Z50)*(1/AB50)</f>
        <v>256766692368.059</v>
      </c>
      <c r="AS50" s="36" t="n">
        <f aca="false">$S50*(1/X50)*(1/Z50)*(1/AB50)*(1/AD50)</f>
        <v>25676669236.8059</v>
      </c>
      <c r="AT50" s="36" t="n">
        <f aca="false">$S50*(1/X50)*(1/Z50)*(1/AB50)*(1/AD50)*(1/AF50)</f>
        <v>256766692.368059</v>
      </c>
      <c r="AU50" s="0" t="n">
        <f aca="false">$S50*(1/X50)*(1/Z50)*(1/AB50)*(1/AD50)*(1/AF50)*(1/AH50)</f>
        <v>25676669.2368059</v>
      </c>
      <c r="AX50" s="66" t="n">
        <f aca="false">AO50</f>
        <v>2.56766692368059E+018</v>
      </c>
      <c r="AY50" s="36" t="n">
        <f aca="false">AX50*(1/Y50)</f>
        <v>2.56766692368059E+018</v>
      </c>
      <c r="AZ50" s="36" t="n">
        <f aca="false">AY50*(1/AA50)</f>
        <v>2.56766692368059E+018</v>
      </c>
      <c r="BA50" s="36" t="n">
        <f aca="false">AZ50*(1/AC50)</f>
        <v>1283833461840.3</v>
      </c>
      <c r="BB50" s="36" t="n">
        <f aca="false">BA50*(1/AE50)</f>
        <v>427944487280.099</v>
      </c>
      <c r="BC50" s="36" t="n">
        <f aca="false">BB50*(1/AG50)</f>
        <v>4279444872.80099</v>
      </c>
      <c r="BD50" s="0" t="n">
        <f aca="false">BC50*(1/AI50)</f>
        <v>2139722436.40049</v>
      </c>
      <c r="BF50" s="36" t="s">
        <v>169</v>
      </c>
      <c r="BG50" s="0" t="n">
        <v>65165052.3552</v>
      </c>
      <c r="BI50" s="36" t="s">
        <v>170</v>
      </c>
    </row>
    <row r="51" customFormat="false" ht="15.75" hidden="false" customHeight="true" outlineLevel="0" collapsed="false">
      <c r="B51" s="22" t="s">
        <v>171</v>
      </c>
      <c r="C51" s="23" t="n">
        <v>93239</v>
      </c>
      <c r="D51" s="23" t="s">
        <v>135</v>
      </c>
      <c r="E51" s="37" t="n">
        <v>1.71895E-005</v>
      </c>
      <c r="F51" s="37" t="s">
        <v>172</v>
      </c>
      <c r="G51" s="37" t="s">
        <v>173</v>
      </c>
      <c r="H51" s="41" t="s">
        <v>174</v>
      </c>
      <c r="I51" s="59"/>
      <c r="J51" s="27"/>
      <c r="K51" s="28"/>
      <c r="L51" s="28" t="n">
        <v>24.1</v>
      </c>
      <c r="M51" s="29" t="n">
        <f aca="false">IF(ISNUMBER(BG51),BG51,"")</f>
        <v>203558.4</v>
      </c>
      <c r="N51" s="29" t="n">
        <f aca="false">IF(ISNUMBER(M51),LN(2)/M51,0)</f>
        <v>3.40515144823277E-006</v>
      </c>
      <c r="O51" s="31" t="n">
        <f aca="false">10^-24</f>
        <v>1E-024</v>
      </c>
      <c r="P51" s="31" t="n">
        <f aca="false">PI()*$K$97^2*$K$98</f>
        <v>13978830.6714131</v>
      </c>
      <c r="Q51" s="32" t="n">
        <f aca="false">E51/O51</f>
        <v>1.71895E+019</v>
      </c>
      <c r="R51" s="32" t="n">
        <f aca="false">Q51*P51</f>
        <v>2.40289109826256E+026</v>
      </c>
      <c r="S51" s="43" t="n">
        <f aca="false">R51*N51</f>
        <v>8.18220810319439E+020</v>
      </c>
      <c r="T51" s="44" t="n">
        <f aca="false">S51*0.000000000027</f>
        <v>22091961878.6249</v>
      </c>
      <c r="U51" s="45" t="str">
        <f aca="false">D51</f>
        <v>Pu, Actinidos</v>
      </c>
      <c r="V51" s="56" t="n">
        <v>3E-005</v>
      </c>
      <c r="W51" s="56" t="n">
        <v>8E-005</v>
      </c>
      <c r="X51" s="57" t="n">
        <v>1</v>
      </c>
      <c r="Y51" s="57" t="n">
        <v>1</v>
      </c>
      <c r="Z51" s="57" t="n">
        <v>200</v>
      </c>
      <c r="AA51" s="57" t="n">
        <v>100</v>
      </c>
      <c r="AB51" s="57" t="n">
        <f aca="false">10^7</f>
        <v>10000000</v>
      </c>
      <c r="AC51" s="57" t="n">
        <f aca="false">2000000</f>
        <v>2000000</v>
      </c>
      <c r="AD51" s="57" t="n">
        <v>100</v>
      </c>
      <c r="AE51" s="57" t="n">
        <v>30</v>
      </c>
      <c r="AF51" s="58" t="n">
        <v>100</v>
      </c>
      <c r="AG51" s="58" t="n">
        <v>100</v>
      </c>
      <c r="AH51" s="57" t="n">
        <v>10</v>
      </c>
      <c r="AI51" s="57" t="n">
        <v>2</v>
      </c>
      <c r="AJ51" s="49" t="n">
        <f aca="false">$S51*(1/X51)*(1/Z51)*(1/AB51)*(1/AD51)*(1/AF51)*(1/AH51)</f>
        <v>4091104.0515972</v>
      </c>
      <c r="AK51" s="49" t="n">
        <f aca="false">$S51*(1/Y51)*(1/AA51)*(1/AC51)*(1/AE51)*(1/AG51)*(1/AI51)</f>
        <v>681850675.2662</v>
      </c>
      <c r="AL51" s="49" t="n">
        <f aca="false">AK51*0.000000000027</f>
        <v>0.0184099682321874</v>
      </c>
      <c r="AM51" s="49" t="str">
        <f aca="false">B51</f>
        <v>Np-239</v>
      </c>
      <c r="AO51" s="50" t="n">
        <f aca="false">$S51</f>
        <v>8.18220810319439E+020</v>
      </c>
      <c r="AP51" s="50" t="n">
        <f aca="false">$S51*(1/X51)</f>
        <v>8.18220810319439E+020</v>
      </c>
      <c r="AQ51" s="50" t="n">
        <f aca="false">$S51*(1/X51)*(1/Z51)</f>
        <v>4.0911040515972E+018</v>
      </c>
      <c r="AR51" s="50" t="n">
        <f aca="false">$S51*(1/X51)*(1/Z51)*(1/AB51)</f>
        <v>409110405159.72</v>
      </c>
      <c r="AS51" s="50" t="n">
        <f aca="false">$S51*(1/X51)*(1/Z51)*(1/AB51)*(1/AD51)</f>
        <v>4091104051.5972</v>
      </c>
      <c r="AT51" s="51" t="n">
        <f aca="false">$S51*(1/X51)*(1/Z51)*(1/AB51)*(1/AD51)*(1/AF51)</f>
        <v>40911040.515972</v>
      </c>
      <c r="AU51" s="50" t="n">
        <f aca="false">$S51*(1/X51)*(1/Z51)*(1/AB51)*(1/AD51)*(1/AF51)*(1/AH51)</f>
        <v>4091104.0515972</v>
      </c>
      <c r="AX51" s="50" t="n">
        <f aca="false">AO51</f>
        <v>8.18220810319439E+020</v>
      </c>
      <c r="AY51" s="50" t="n">
        <f aca="false">AX51*(1/Y51)</f>
        <v>8.18220810319439E+020</v>
      </c>
      <c r="AZ51" s="50" t="n">
        <f aca="false">AY51*(1/AA51)</f>
        <v>8.18220810319439E+018</v>
      </c>
      <c r="BA51" s="50" t="n">
        <f aca="false">AZ51*(1/AC51)</f>
        <v>4091104051597.2</v>
      </c>
      <c r="BB51" s="50" t="n">
        <f aca="false">BA51*(1/AE51)</f>
        <v>136370135053.24</v>
      </c>
      <c r="BC51" s="50" t="n">
        <f aca="false">BB51*(1/AG51)</f>
        <v>1363701350.5324</v>
      </c>
      <c r="BD51" s="50" t="n">
        <f aca="false">BC51*(1/AI51)</f>
        <v>681850675.2662</v>
      </c>
      <c r="BF51" s="36" t="s">
        <v>172</v>
      </c>
      <c r="BG51" s="0" t="n">
        <v>203558.4</v>
      </c>
    </row>
    <row r="52" customFormat="false" ht="15.75" hidden="false" customHeight="true" outlineLevel="0" collapsed="false">
      <c r="B52" s="22" t="s">
        <v>175</v>
      </c>
      <c r="C52" s="23" t="n">
        <v>94238</v>
      </c>
      <c r="D52" s="23" t="s">
        <v>135</v>
      </c>
      <c r="E52" s="37" t="n">
        <v>8.29987E-006</v>
      </c>
      <c r="F52" s="37" t="s">
        <v>176</v>
      </c>
      <c r="G52" s="37" t="s">
        <v>177</v>
      </c>
      <c r="H52" s="41" t="s">
        <v>178</v>
      </c>
      <c r="I52" s="59" t="n">
        <v>87.7</v>
      </c>
      <c r="J52" s="27"/>
      <c r="K52" s="28"/>
      <c r="L52" s="28"/>
      <c r="M52" s="29" t="n">
        <f aca="false">IF(ISNUMBER(BG52),BG52,"")</f>
        <v>2767542417.216</v>
      </c>
      <c r="N52" s="29" t="n">
        <f aca="false">IF(ISNUMBER(M52),LN(2)/M52,0)</f>
        <v>2.50455847125629E-010</v>
      </c>
      <c r="O52" s="31" t="n">
        <f aca="false">10^-24</f>
        <v>1E-024</v>
      </c>
      <c r="P52" s="31" t="n">
        <f aca="false">PI()*$K$97^2*$K$98</f>
        <v>13978830.6714131</v>
      </c>
      <c r="Q52" s="32" t="n">
        <f aca="false">E52/O52</f>
        <v>8.29987E+018</v>
      </c>
      <c r="R52" s="32" t="n">
        <f aca="false">Q52*P52</f>
        <v>1.16022477324742E+026</v>
      </c>
      <c r="S52" s="43" t="n">
        <f aca="false">R52*N52</f>
        <v>29058507843982300</v>
      </c>
      <c r="T52" s="44" t="n">
        <f aca="false">S52*0.000000000027</f>
        <v>784579.711787523</v>
      </c>
      <c r="U52" s="45" t="str">
        <f aca="false">D52</f>
        <v>Pu, Actinidos</v>
      </c>
      <c r="V52" s="56" t="n">
        <v>3E-005</v>
      </c>
      <c r="W52" s="56" t="n">
        <v>8E-005</v>
      </c>
      <c r="X52" s="57" t="n">
        <v>1</v>
      </c>
      <c r="Y52" s="57" t="n">
        <v>1</v>
      </c>
      <c r="Z52" s="57" t="n">
        <v>200</v>
      </c>
      <c r="AA52" s="57" t="n">
        <v>100</v>
      </c>
      <c r="AB52" s="57" t="n">
        <f aca="false">10^7</f>
        <v>10000000</v>
      </c>
      <c r="AC52" s="57" t="n">
        <f aca="false">2000000</f>
        <v>2000000</v>
      </c>
      <c r="AD52" s="57" t="n">
        <v>100</v>
      </c>
      <c r="AE52" s="57" t="n">
        <v>30</v>
      </c>
      <c r="AF52" s="58" t="n">
        <v>100</v>
      </c>
      <c r="AG52" s="58" t="n">
        <v>100</v>
      </c>
      <c r="AH52" s="57" t="n">
        <v>10</v>
      </c>
      <c r="AI52" s="57" t="n">
        <v>2</v>
      </c>
      <c r="AJ52" s="49" t="n">
        <f aca="false">$S52*(1/X52)*(1/Z52)*(1/AB52)*(1/AD52)*(1/AF52)*(1/AH52)</f>
        <v>145.292539219912</v>
      </c>
      <c r="AK52" s="49" t="n">
        <f aca="false">$S52*(1/Y52)*(1/AA52)*(1/AC52)*(1/AE52)*(1/AG52)*(1/AI52)</f>
        <v>24215.4232033186</v>
      </c>
      <c r="AL52" s="49" t="n">
        <f aca="false">AK52*0.000000000027</f>
        <v>6.53816426489603E-007</v>
      </c>
      <c r="AM52" s="49" t="str">
        <f aca="false">B52</f>
        <v>Pu-238</v>
      </c>
      <c r="AO52" s="50" t="n">
        <f aca="false">$S52</f>
        <v>29058507843982300</v>
      </c>
      <c r="AP52" s="50" t="n">
        <f aca="false">$S52*(1/X52)</f>
        <v>29058507843982300</v>
      </c>
      <c r="AQ52" s="50" t="n">
        <f aca="false">$S52*(1/X52)*(1/Z52)</f>
        <v>145292539219912</v>
      </c>
      <c r="AR52" s="50" t="n">
        <f aca="false">$S52*(1/X52)*(1/Z52)*(1/AB52)</f>
        <v>14529253.9219912</v>
      </c>
      <c r="AS52" s="50" t="n">
        <f aca="false">$S52*(1/X52)*(1/Z52)*(1/AB52)*(1/AD52)</f>
        <v>145292.539219912</v>
      </c>
      <c r="AT52" s="51" t="n">
        <f aca="false">$S52*(1/X52)*(1/Z52)*(1/AB52)*(1/AD52)*(1/AF52)</f>
        <v>1452.92539219912</v>
      </c>
      <c r="AU52" s="50" t="n">
        <f aca="false">$S52*(1/X52)*(1/Z52)*(1/AB52)*(1/AD52)*(1/AF52)*(1/AH52)</f>
        <v>145.292539219912</v>
      </c>
      <c r="AX52" s="50" t="n">
        <f aca="false">AO52</f>
        <v>29058507843982300</v>
      </c>
      <c r="AY52" s="50" t="n">
        <f aca="false">AX52*(1/Y52)</f>
        <v>29058507843982300</v>
      </c>
      <c r="AZ52" s="50" t="n">
        <f aca="false">AY52*(1/AA52)</f>
        <v>290585078439823</v>
      </c>
      <c r="BA52" s="50" t="n">
        <f aca="false">AZ52*(1/AC52)</f>
        <v>145292539.219912</v>
      </c>
      <c r="BB52" s="50" t="n">
        <f aca="false">BA52*(1/AE52)</f>
        <v>4843084.64066372</v>
      </c>
      <c r="BC52" s="50" t="n">
        <f aca="false">BB52*(1/AG52)</f>
        <v>48430.8464066372</v>
      </c>
      <c r="BD52" s="50" t="n">
        <f aca="false">BC52*(1/AI52)</f>
        <v>24215.4232033186</v>
      </c>
      <c r="BF52" s="36" t="s">
        <v>179</v>
      </c>
      <c r="BG52" s="0" t="n">
        <v>2767542417.216</v>
      </c>
    </row>
    <row r="53" customFormat="false" ht="15.75" hidden="false" customHeight="true" outlineLevel="0" collapsed="false">
      <c r="B53" s="22" t="s">
        <v>180</v>
      </c>
      <c r="C53" s="23" t="n">
        <v>94239</v>
      </c>
      <c r="D53" s="23" t="s">
        <v>135</v>
      </c>
      <c r="E53" s="37" t="n">
        <v>0.000258547</v>
      </c>
      <c r="F53" s="37" t="s">
        <v>181</v>
      </c>
      <c r="G53" s="37" t="s">
        <v>182</v>
      </c>
      <c r="H53" s="41" t="s">
        <v>183</v>
      </c>
      <c r="I53" s="59" t="n">
        <v>24100</v>
      </c>
      <c r="J53" s="27"/>
      <c r="K53" s="28"/>
      <c r="L53" s="28"/>
      <c r="M53" s="29" t="n">
        <f aca="false">IF(ISNUMBER(BG53),BG53,"")</f>
        <v>760837487788.8</v>
      </c>
      <c r="N53" s="29" t="n">
        <f aca="false">IF(ISNUMBER(M53),LN(2)/M53,0)</f>
        <v>9.11031845413426E-013</v>
      </c>
      <c r="O53" s="31" t="n">
        <f aca="false">10^-24</f>
        <v>1E-024</v>
      </c>
      <c r="P53" s="31" t="n">
        <f aca="false">PI()*$K$97^2*$K$98</f>
        <v>13978830.6714131</v>
      </c>
      <c r="Q53" s="32" t="n">
        <f aca="false">E53/O53</f>
        <v>2.58547E+020</v>
      </c>
      <c r="R53" s="32" t="n">
        <f aca="false">Q53*P53</f>
        <v>3.61418473360185E+027</v>
      </c>
      <c r="S53" s="43" t="n">
        <f aca="false">R53*N53</f>
        <v>3292637387518330</v>
      </c>
      <c r="T53" s="44" t="n">
        <f aca="false">S53*0.000000000027</f>
        <v>88901.2094629948</v>
      </c>
      <c r="U53" s="45" t="str">
        <f aca="false">D53</f>
        <v>Pu, Actinidos</v>
      </c>
      <c r="V53" s="56" t="n">
        <v>3E-005</v>
      </c>
      <c r="W53" s="56" t="n">
        <v>8E-005</v>
      </c>
      <c r="X53" s="57" t="n">
        <v>1</v>
      </c>
      <c r="Y53" s="57" t="n">
        <v>1</v>
      </c>
      <c r="Z53" s="57" t="n">
        <v>200</v>
      </c>
      <c r="AA53" s="57" t="n">
        <v>100</v>
      </c>
      <c r="AB53" s="57" t="n">
        <f aca="false">10^7</f>
        <v>10000000</v>
      </c>
      <c r="AC53" s="57" t="n">
        <f aca="false">2000000</f>
        <v>2000000</v>
      </c>
      <c r="AD53" s="57" t="n">
        <v>100</v>
      </c>
      <c r="AE53" s="57" t="n">
        <v>30</v>
      </c>
      <c r="AF53" s="58" t="n">
        <v>100</v>
      </c>
      <c r="AG53" s="58" t="n">
        <v>100</v>
      </c>
      <c r="AH53" s="57" t="n">
        <v>10</v>
      </c>
      <c r="AI53" s="57" t="n">
        <v>2</v>
      </c>
      <c r="AJ53" s="49" t="n">
        <f aca="false">$S53*(1/X53)*(1/Z53)*(1/AB53)*(1/AD53)*(1/AF53)*(1/AH53)</f>
        <v>16.4631869375916</v>
      </c>
      <c r="AK53" s="49" t="n">
        <f aca="false">$S53*(1/Y53)*(1/AA53)*(1/AC53)*(1/AE53)*(1/AG53)*(1/AI53)</f>
        <v>2743.86448959861</v>
      </c>
      <c r="AL53" s="49" t="n">
        <f aca="false">AK53*0.000000000027</f>
        <v>7.40843412191624E-008</v>
      </c>
      <c r="AM53" s="49" t="str">
        <f aca="false">B53</f>
        <v>Pu-239</v>
      </c>
      <c r="AO53" s="50" t="n">
        <f aca="false">$S53</f>
        <v>3292637387518330</v>
      </c>
      <c r="AP53" s="50" t="n">
        <f aca="false">$S53*(1/X53)</f>
        <v>3292637387518330</v>
      </c>
      <c r="AQ53" s="50" t="n">
        <f aca="false">$S53*(1/X53)*(1/Z53)</f>
        <v>16463186937591.6</v>
      </c>
      <c r="AR53" s="50" t="n">
        <f aca="false">$S53*(1/X53)*(1/Z53)*(1/AB53)</f>
        <v>1646318.69375916</v>
      </c>
      <c r="AS53" s="50" t="n">
        <f aca="false">$S53*(1/X53)*(1/Z53)*(1/AB53)*(1/AD53)</f>
        <v>16463.1869375916</v>
      </c>
      <c r="AT53" s="51" t="n">
        <f aca="false">$S53*(1/X53)*(1/Z53)*(1/AB53)*(1/AD53)*(1/AF53)</f>
        <v>164.631869375916</v>
      </c>
      <c r="AU53" s="50" t="n">
        <f aca="false">$S53*(1/X53)*(1/Z53)*(1/AB53)*(1/AD53)*(1/AF53)*(1/AH53)</f>
        <v>16.4631869375916</v>
      </c>
      <c r="AX53" s="50" t="n">
        <f aca="false">AO53</f>
        <v>3292637387518330</v>
      </c>
      <c r="AY53" s="50" t="n">
        <f aca="false">AX53*(1/Y53)</f>
        <v>3292637387518330</v>
      </c>
      <c r="AZ53" s="50" t="n">
        <f aca="false">AY53*(1/AA53)</f>
        <v>32926373875183.3</v>
      </c>
      <c r="BA53" s="50" t="n">
        <f aca="false">AZ53*(1/AC53)</f>
        <v>16463186.9375916</v>
      </c>
      <c r="BB53" s="50" t="n">
        <f aca="false">BA53*(1/AE53)</f>
        <v>548772.897919721</v>
      </c>
      <c r="BC53" s="50" t="n">
        <f aca="false">BB53*(1/AG53)</f>
        <v>5487.72897919721</v>
      </c>
      <c r="BD53" s="50" t="n">
        <f aca="false">BC53*(1/AI53)</f>
        <v>2743.86448959861</v>
      </c>
      <c r="BF53" s="36" t="s">
        <v>184</v>
      </c>
      <c r="BG53" s="0" t="n">
        <v>760837487788.8</v>
      </c>
    </row>
    <row r="54" customFormat="false" ht="15.75" hidden="false" customHeight="true" outlineLevel="0" collapsed="false">
      <c r="B54" s="22" t="s">
        <v>185</v>
      </c>
      <c r="C54" s="23" t="n">
        <v>94240</v>
      </c>
      <c r="D54" s="23" t="s">
        <v>135</v>
      </c>
      <c r="E54" s="37" t="n">
        <v>7.855E-005</v>
      </c>
      <c r="F54" s="37" t="s">
        <v>186</v>
      </c>
      <c r="G54" s="37" t="s">
        <v>187</v>
      </c>
      <c r="H54" s="41" t="s">
        <v>188</v>
      </c>
      <c r="I54" s="59" t="n">
        <v>6560</v>
      </c>
      <c r="J54" s="27"/>
      <c r="K54" s="28"/>
      <c r="L54" s="28"/>
      <c r="M54" s="29" t="n">
        <f aca="false">IF(ISNUMBER(BG54),BG54,"")</f>
        <v>207044992010.88</v>
      </c>
      <c r="N54" s="29" t="n">
        <f aca="false">IF(ISNUMBER(M54),LN(2)/M54,0)</f>
        <v>3.34780944869954E-012</v>
      </c>
      <c r="O54" s="31" t="n">
        <f aca="false">10^-24</f>
        <v>1E-024</v>
      </c>
      <c r="P54" s="31" t="n">
        <f aca="false">PI()*$K$97^2*$K$98</f>
        <v>13978830.6714131</v>
      </c>
      <c r="Q54" s="32" t="n">
        <f aca="false">E54/O54</f>
        <v>7.855E+019</v>
      </c>
      <c r="R54" s="32" t="n">
        <f aca="false">Q54*P54</f>
        <v>1.0980371492395E+027</v>
      </c>
      <c r="S54" s="43" t="n">
        <f aca="false">R54*N54</f>
        <v>3676019143247116</v>
      </c>
      <c r="T54" s="44" t="n">
        <f aca="false">S54*0.000000000027</f>
        <v>99252.5168676721</v>
      </c>
      <c r="U54" s="45" t="str">
        <f aca="false">D54</f>
        <v>Pu, Actinidos</v>
      </c>
      <c r="V54" s="56" t="n">
        <v>3E-005</v>
      </c>
      <c r="W54" s="56" t="n">
        <v>8E-005</v>
      </c>
      <c r="X54" s="57" t="n">
        <v>1</v>
      </c>
      <c r="Y54" s="57" t="n">
        <v>1</v>
      </c>
      <c r="Z54" s="57" t="n">
        <v>200</v>
      </c>
      <c r="AA54" s="57" t="n">
        <v>100</v>
      </c>
      <c r="AB54" s="57" t="n">
        <f aca="false">10^7</f>
        <v>10000000</v>
      </c>
      <c r="AC54" s="57" t="n">
        <f aca="false">2000000</f>
        <v>2000000</v>
      </c>
      <c r="AD54" s="57" t="n">
        <v>100</v>
      </c>
      <c r="AE54" s="57" t="n">
        <v>30</v>
      </c>
      <c r="AF54" s="58" t="n">
        <v>100</v>
      </c>
      <c r="AG54" s="58" t="n">
        <v>100</v>
      </c>
      <c r="AH54" s="57" t="n">
        <v>10</v>
      </c>
      <c r="AI54" s="57" t="n">
        <v>2</v>
      </c>
      <c r="AJ54" s="49" t="n">
        <f aca="false">$S54*(1/X54)*(1/Z54)*(1/AB54)*(1/AD54)*(1/AF54)*(1/AH54)</f>
        <v>18.3800957162356</v>
      </c>
      <c r="AK54" s="49" t="n">
        <f aca="false">$S54*(1/Y54)*(1/AA54)*(1/AC54)*(1/AE54)*(1/AG54)*(1/AI54)</f>
        <v>3063.34928603926</v>
      </c>
      <c r="AL54" s="49" t="n">
        <f aca="false">AK54*0.000000000027</f>
        <v>8.27104307230601E-008</v>
      </c>
      <c r="AM54" s="49" t="str">
        <f aca="false">B54</f>
        <v>Pu-240</v>
      </c>
      <c r="AO54" s="50" t="n">
        <f aca="false">$S54</f>
        <v>3676019143247116</v>
      </c>
      <c r="AP54" s="50" t="n">
        <f aca="false">$S54*(1/X54)</f>
        <v>3676019143247116</v>
      </c>
      <c r="AQ54" s="50" t="n">
        <f aca="false">$S54*(1/X54)*(1/Z54)</f>
        <v>18380095716235.6</v>
      </c>
      <c r="AR54" s="50" t="n">
        <f aca="false">$S54*(1/X54)*(1/Z54)*(1/AB54)</f>
        <v>1838009.57162356</v>
      </c>
      <c r="AS54" s="50" t="n">
        <f aca="false">$S54*(1/X54)*(1/Z54)*(1/AB54)*(1/AD54)</f>
        <v>18380.0957162356</v>
      </c>
      <c r="AT54" s="51" t="n">
        <f aca="false">$S54*(1/X54)*(1/Z54)*(1/AB54)*(1/AD54)*(1/AF54)</f>
        <v>183.800957162356</v>
      </c>
      <c r="AU54" s="50" t="n">
        <f aca="false">$S54*(1/X54)*(1/Z54)*(1/AB54)*(1/AD54)*(1/AF54)*(1/AH54)</f>
        <v>18.3800957162356</v>
      </c>
      <c r="AX54" s="50" t="n">
        <f aca="false">AO54</f>
        <v>3676019143247116</v>
      </c>
      <c r="AY54" s="50" t="n">
        <f aca="false">AX54*(1/Y54)</f>
        <v>3676019143247116</v>
      </c>
      <c r="AZ54" s="50" t="n">
        <f aca="false">AY54*(1/AA54)</f>
        <v>36760191432471.2</v>
      </c>
      <c r="BA54" s="50" t="n">
        <f aca="false">AZ54*(1/AC54)</f>
        <v>18380095.7162356</v>
      </c>
      <c r="BB54" s="50" t="n">
        <f aca="false">BA54*(1/AE54)</f>
        <v>612669.857207853</v>
      </c>
      <c r="BC54" s="50" t="n">
        <f aca="false">BB54*(1/AG54)</f>
        <v>6126.69857207853</v>
      </c>
      <c r="BD54" s="50" t="n">
        <f aca="false">BC54*(1/AI54)</f>
        <v>3063.34928603926</v>
      </c>
      <c r="BF54" s="36" t="s">
        <v>189</v>
      </c>
      <c r="BG54" s="0" t="n">
        <v>207044992010.88</v>
      </c>
    </row>
    <row r="55" customFormat="false" ht="15.75" hidden="true" customHeight="true" outlineLevel="0" collapsed="false">
      <c r="B55" s="22" t="s">
        <v>190</v>
      </c>
      <c r="C55" s="23" t="n">
        <v>57139</v>
      </c>
      <c r="D55" s="23"/>
      <c r="E55" s="37" t="n">
        <v>0.000156365</v>
      </c>
      <c r="F55" s="37"/>
      <c r="G55" s="37" t="s">
        <v>53</v>
      </c>
      <c r="H55" s="25" t="s">
        <v>53</v>
      </c>
      <c r="I55" s="26"/>
      <c r="J55" s="27"/>
      <c r="K55" s="28"/>
      <c r="L55" s="28"/>
      <c r="M55" s="29" t="str">
        <f aca="false">IF(ISNUMBER(BG55),BG55,"")</f>
        <v/>
      </c>
      <c r="N55" s="30" t="n">
        <f aca="false">IF(ISNUMBER(M55),LN(2)/M55,0)</f>
        <v>0</v>
      </c>
      <c r="O55" s="31" t="n">
        <f aca="false">10^-24</f>
        <v>1E-024</v>
      </c>
      <c r="P55" s="31" t="n">
        <f aca="false">PI()*$K$97^2*$K$98</f>
        <v>13978830.6714131</v>
      </c>
      <c r="Q55" s="32" t="n">
        <f aca="false">E55/O55</f>
        <v>1.56365E+020</v>
      </c>
      <c r="R55" s="32" t="n">
        <f aca="false">Q55*P55</f>
        <v>2.18579985793552E+027</v>
      </c>
      <c r="S55" s="32" t="n">
        <f aca="false">R55*N55</f>
        <v>0</v>
      </c>
      <c r="T55" s="32"/>
      <c r="U55" s="32"/>
      <c r="V55" s="54"/>
      <c r="W55" s="54"/>
      <c r="X55" s="55" t="n">
        <v>0.01</v>
      </c>
      <c r="Y55" s="55"/>
      <c r="Z55" s="55" t="n">
        <v>0.999</v>
      </c>
      <c r="AA55" s="55"/>
      <c r="AB55" s="55"/>
      <c r="AC55" s="55"/>
      <c r="AD55" s="55"/>
      <c r="AE55" s="55"/>
      <c r="AF55" s="55"/>
      <c r="AG55" s="55"/>
      <c r="AH55" s="55"/>
      <c r="AI55" s="55"/>
      <c r="AJ55" s="54" t="n">
        <f aca="false">S55*X55*(1-Z55)</f>
        <v>0</v>
      </c>
      <c r="AK55" s="35"/>
      <c r="AL55" s="35"/>
      <c r="AM55" s="35"/>
      <c r="BF55" s="36" t="s">
        <v>54</v>
      </c>
    </row>
    <row r="56" customFormat="false" ht="15.75" hidden="false" customHeight="true" outlineLevel="0" collapsed="false">
      <c r="B56" s="22" t="s">
        <v>191</v>
      </c>
      <c r="C56" s="23" t="n">
        <v>94241</v>
      </c>
      <c r="D56" s="23" t="s">
        <v>135</v>
      </c>
      <c r="E56" s="37" t="n">
        <v>7.80575E-005</v>
      </c>
      <c r="F56" s="37" t="s">
        <v>192</v>
      </c>
      <c r="G56" s="37" t="s">
        <v>193</v>
      </c>
      <c r="H56" s="41" t="s">
        <v>194</v>
      </c>
      <c r="I56" s="59" t="n">
        <v>14.3</v>
      </c>
      <c r="J56" s="27"/>
      <c r="K56" s="28"/>
      <c r="L56" s="28"/>
      <c r="M56" s="29" t="n">
        <f aca="false">IF(ISNUMBER(BG56),BG56,"")</f>
        <v>452179193.80032</v>
      </c>
      <c r="N56" s="29" t="n">
        <f aca="false">IF(ISNUMBER(M56),LN(2)/M56,0)</f>
        <v>1.53290374715037E-009</v>
      </c>
      <c r="O56" s="31" t="n">
        <f aca="false">10^-24</f>
        <v>1E-024</v>
      </c>
      <c r="P56" s="31" t="n">
        <f aca="false">PI()*$K$97^2*$K$98</f>
        <v>13978830.6714131</v>
      </c>
      <c r="Q56" s="32" t="n">
        <f aca="false">E56/O56</f>
        <v>7.80575E+019</v>
      </c>
      <c r="R56" s="32" t="n">
        <f aca="false">Q56*P56</f>
        <v>1.09115257513383E+027</v>
      </c>
      <c r="S56" s="43" t="n">
        <f aca="false">R56*N56</f>
        <v>1.67263187113543E+018</v>
      </c>
      <c r="T56" s="44" t="n">
        <f aca="false">S56*0.000000000027</f>
        <v>45161060.5206566</v>
      </c>
      <c r="U56" s="45" t="str">
        <f aca="false">D56</f>
        <v>Pu, Actinidos</v>
      </c>
      <c r="V56" s="56" t="n">
        <v>3E-005</v>
      </c>
      <c r="W56" s="56" t="n">
        <v>8E-005</v>
      </c>
      <c r="X56" s="57" t="n">
        <v>1</v>
      </c>
      <c r="Y56" s="57" t="n">
        <v>1</v>
      </c>
      <c r="Z56" s="57" t="n">
        <v>200</v>
      </c>
      <c r="AA56" s="57" t="n">
        <v>100</v>
      </c>
      <c r="AB56" s="57" t="n">
        <f aca="false">10^7</f>
        <v>10000000</v>
      </c>
      <c r="AC56" s="57" t="n">
        <f aca="false">2000000</f>
        <v>2000000</v>
      </c>
      <c r="AD56" s="57" t="n">
        <v>100</v>
      </c>
      <c r="AE56" s="57" t="n">
        <v>30</v>
      </c>
      <c r="AF56" s="58" t="n">
        <v>100</v>
      </c>
      <c r="AG56" s="58" t="n">
        <v>100</v>
      </c>
      <c r="AH56" s="57" t="n">
        <v>10</v>
      </c>
      <c r="AI56" s="57" t="n">
        <v>2</v>
      </c>
      <c r="AJ56" s="49" t="n">
        <f aca="false">$S56*(1/X56)*(1/Z56)*(1/AB56)*(1/AD56)*(1/AF56)*(1/AH56)</f>
        <v>8363.15935567715</v>
      </c>
      <c r="AK56" s="49" t="n">
        <f aca="false">$S56*(1/Y56)*(1/AA56)*(1/AC56)*(1/AE56)*(1/AG56)*(1/AI56)</f>
        <v>1393859.89261286</v>
      </c>
      <c r="AL56" s="49" t="n">
        <f aca="false">AK56*0.000000000027</f>
        <v>3.76342171005472E-005</v>
      </c>
      <c r="AM56" s="49" t="str">
        <f aca="false">B56</f>
        <v>Pu-241</v>
      </c>
      <c r="AO56" s="50" t="n">
        <f aca="false">$S56</f>
        <v>1.67263187113543E+018</v>
      </c>
      <c r="AP56" s="50" t="n">
        <f aca="false">$S56*(1/X56)</f>
        <v>1.67263187113543E+018</v>
      </c>
      <c r="AQ56" s="50" t="n">
        <f aca="false">$S56*(1/X56)*(1/Z56)</f>
        <v>8363159355677147</v>
      </c>
      <c r="AR56" s="50" t="n">
        <f aca="false">$S56*(1/X56)*(1/Z56)*(1/AB56)</f>
        <v>836315935.567715</v>
      </c>
      <c r="AS56" s="50" t="n">
        <f aca="false">$S56*(1/X56)*(1/Z56)*(1/AB56)*(1/AD56)</f>
        <v>8363159.35567715</v>
      </c>
      <c r="AT56" s="51" t="n">
        <f aca="false">$S56*(1/X56)*(1/Z56)*(1/AB56)*(1/AD56)*(1/AF56)</f>
        <v>83631.5935567715</v>
      </c>
      <c r="AU56" s="50" t="n">
        <f aca="false">$S56*(1/X56)*(1/Z56)*(1/AB56)*(1/AD56)*(1/AF56)*(1/AH56)</f>
        <v>8363.15935567715</v>
      </c>
      <c r="AX56" s="50" t="n">
        <f aca="false">AO56</f>
        <v>1.67263187113543E+018</v>
      </c>
      <c r="AY56" s="50" t="n">
        <f aca="false">AX56*(1/Y56)</f>
        <v>1.67263187113543E+018</v>
      </c>
      <c r="AZ56" s="50" t="n">
        <f aca="false">AY56*(1/AA56)</f>
        <v>16726318711354300</v>
      </c>
      <c r="BA56" s="50" t="n">
        <f aca="false">AZ56*(1/AC56)</f>
        <v>8363159355.67715</v>
      </c>
      <c r="BB56" s="50" t="n">
        <f aca="false">BA56*(1/AE56)</f>
        <v>278771978.522572</v>
      </c>
      <c r="BC56" s="50" t="n">
        <f aca="false">BB56*(1/AG56)</f>
        <v>2787719.78522572</v>
      </c>
      <c r="BD56" s="50" t="n">
        <f aca="false">BC56*(1/AI56)</f>
        <v>1393859.89261286</v>
      </c>
      <c r="BF56" s="36" t="s">
        <v>195</v>
      </c>
      <c r="BG56" s="0" t="n">
        <v>452179193.80032</v>
      </c>
    </row>
    <row r="57" customFormat="false" ht="15.75" hidden="false" customHeight="true" outlineLevel="0" collapsed="false">
      <c r="B57" s="22" t="s">
        <v>196</v>
      </c>
      <c r="C57" s="23" t="n">
        <v>94242</v>
      </c>
      <c r="D57" s="23" t="s">
        <v>135</v>
      </c>
      <c r="E57" s="37" t="n">
        <v>2.86215E-005</v>
      </c>
      <c r="F57" s="37" t="s">
        <v>197</v>
      </c>
      <c r="G57" s="37" t="s">
        <v>198</v>
      </c>
      <c r="H57" s="41" t="s">
        <v>199</v>
      </c>
      <c r="I57" s="59" t="n">
        <v>375000</v>
      </c>
      <c r="J57" s="27"/>
      <c r="K57" s="28"/>
      <c r="L57" s="28"/>
      <c r="M57" s="29" t="n">
        <f aca="false">IF(ISNUMBER(BG57),BG57,"")</f>
        <v>11833847280000</v>
      </c>
      <c r="N57" s="29" t="n">
        <f aca="false">IF(ISNUMBER(M57),LN(2)/M57,0)</f>
        <v>5.85732741144472E-014</v>
      </c>
      <c r="O57" s="31" t="n">
        <f aca="false">10^-24</f>
        <v>1E-024</v>
      </c>
      <c r="P57" s="31" t="n">
        <f aca="false">PI()*$K$97^2*$K$98</f>
        <v>13978830.6714131</v>
      </c>
      <c r="Q57" s="32" t="n">
        <f aca="false">E57/O57</f>
        <v>2.86215E+019</v>
      </c>
      <c r="R57" s="32" t="n">
        <f aca="false">Q57*P57</f>
        <v>4.00095102061851E+026</v>
      </c>
      <c r="S57" s="43" t="n">
        <f aca="false">R57*N57</f>
        <v>23434880084916.5</v>
      </c>
      <c r="T57" s="44" t="n">
        <f aca="false">S57*0.000000000027</f>
        <v>632.741762292747</v>
      </c>
      <c r="U57" s="45" t="str">
        <f aca="false">D57</f>
        <v>Pu, Actinidos</v>
      </c>
      <c r="V57" s="56" t="n">
        <v>3E-005</v>
      </c>
      <c r="W57" s="56" t="n">
        <v>8E-005</v>
      </c>
      <c r="X57" s="57" t="n">
        <v>1</v>
      </c>
      <c r="Y57" s="57" t="n">
        <v>1</v>
      </c>
      <c r="Z57" s="57" t="n">
        <v>200</v>
      </c>
      <c r="AA57" s="57" t="n">
        <v>100</v>
      </c>
      <c r="AB57" s="57" t="n">
        <f aca="false">10^7</f>
        <v>10000000</v>
      </c>
      <c r="AC57" s="57" t="n">
        <f aca="false">2000000</f>
        <v>2000000</v>
      </c>
      <c r="AD57" s="57" t="n">
        <v>100</v>
      </c>
      <c r="AE57" s="57" t="n">
        <v>30</v>
      </c>
      <c r="AF57" s="58" t="n">
        <v>100</v>
      </c>
      <c r="AG57" s="58" t="n">
        <v>100</v>
      </c>
      <c r="AH57" s="57" t="n">
        <v>10</v>
      </c>
      <c r="AI57" s="57" t="n">
        <v>2</v>
      </c>
      <c r="AJ57" s="49" t="n">
        <f aca="false">$S57*(1/X57)*(1/Z57)*(1/AB57)*(1/AD57)*(1/AF57)*(1/AH57)</f>
        <v>0.117174400424583</v>
      </c>
      <c r="AK57" s="49" t="n">
        <f aca="false">$S57*(1/Y57)*(1/AA57)*(1/AC57)*(1/AE57)*(1/AG57)*(1/AI57)</f>
        <v>19.5290667374305</v>
      </c>
      <c r="AL57" s="49" t="n">
        <f aca="false">AK57*0.000000000027</f>
        <v>5.27284801910622E-010</v>
      </c>
      <c r="AM57" s="49" t="str">
        <f aca="false">B57</f>
        <v>Pu-242</v>
      </c>
      <c r="AO57" s="50" t="n">
        <f aca="false">$S57</f>
        <v>23434880084916.5</v>
      </c>
      <c r="AP57" s="50" t="n">
        <f aca="false">$S57*(1/X57)</f>
        <v>23434880084916.5</v>
      </c>
      <c r="AQ57" s="50" t="n">
        <f aca="false">$S57*(1/X57)*(1/Z57)</f>
        <v>117174400424.583</v>
      </c>
      <c r="AR57" s="50" t="n">
        <f aca="false">$S57*(1/X57)*(1/Z57)*(1/AB57)</f>
        <v>11717.4400424583</v>
      </c>
      <c r="AS57" s="50" t="n">
        <f aca="false">$S57*(1/X57)*(1/Z57)*(1/AB57)*(1/AD57)</f>
        <v>117.174400424583</v>
      </c>
      <c r="AT57" s="51" t="n">
        <f aca="false">$S57*(1/X57)*(1/Z57)*(1/AB57)*(1/AD57)*(1/AF57)</f>
        <v>1.17174400424583</v>
      </c>
      <c r="AU57" s="50" t="n">
        <f aca="false">$S57*(1/X57)*(1/Z57)*(1/AB57)*(1/AD57)*(1/AF57)*(1/AH57)</f>
        <v>0.117174400424583</v>
      </c>
      <c r="AX57" s="50" t="n">
        <f aca="false">AO57</f>
        <v>23434880084916.5</v>
      </c>
      <c r="AY57" s="50" t="n">
        <f aca="false">AX57*(1/Y57)</f>
        <v>23434880084916.5</v>
      </c>
      <c r="AZ57" s="50" t="n">
        <f aca="false">AY57*(1/AA57)</f>
        <v>234348800849.165</v>
      </c>
      <c r="BA57" s="50" t="n">
        <f aca="false">AZ57*(1/AC57)</f>
        <v>117174.400424583</v>
      </c>
      <c r="BB57" s="50" t="n">
        <f aca="false">BA57*(1/AE57)</f>
        <v>3905.81334748609</v>
      </c>
      <c r="BC57" s="50" t="n">
        <f aca="false">BB57*(1/AG57)</f>
        <v>39.0581334748609</v>
      </c>
      <c r="BD57" s="50" t="n">
        <f aca="false">BC57*(1/AI57)</f>
        <v>19.5290667374305</v>
      </c>
      <c r="BF57" s="36" t="s">
        <v>200</v>
      </c>
      <c r="BG57" s="0" t="n">
        <v>11833847280000</v>
      </c>
    </row>
    <row r="58" customFormat="false" ht="15.75" hidden="false" customHeight="true" outlineLevel="0" collapsed="false">
      <c r="B58" s="22" t="s">
        <v>201</v>
      </c>
      <c r="C58" s="23" t="n">
        <v>95241</v>
      </c>
      <c r="D58" s="23" t="s">
        <v>135</v>
      </c>
      <c r="E58" s="37" t="n">
        <v>6.97773E-007</v>
      </c>
      <c r="F58" s="37" t="s">
        <v>202</v>
      </c>
      <c r="G58" s="37" t="s">
        <v>203</v>
      </c>
      <c r="H58" s="41" t="s">
        <v>204</v>
      </c>
      <c r="I58" s="59" t="n">
        <v>14.4</v>
      </c>
      <c r="J58" s="27"/>
      <c r="K58" s="28"/>
      <c r="L58" s="28"/>
      <c r="M58" s="29" t="n">
        <f aca="false">IF(ISNUMBER(BG58),BG58,"")</f>
        <v>13651526222.208</v>
      </c>
      <c r="N58" s="29" t="n">
        <f aca="false">IF(ISNUMBER(M58),LN(2)/M58,0)</f>
        <v>5.0774336090887E-011</v>
      </c>
      <c r="O58" s="31" t="n">
        <f aca="false">10^-24</f>
        <v>1E-024</v>
      </c>
      <c r="P58" s="31" t="n">
        <f aca="false">PI()*$K$97^2*$K$98</f>
        <v>13978830.6714131</v>
      </c>
      <c r="Q58" s="32" t="n">
        <f aca="false">E58/O58</f>
        <v>6.97773E+017</v>
      </c>
      <c r="R58" s="32" t="n">
        <f aca="false">Q58*P58</f>
        <v>9.75405061408396E+024</v>
      </c>
      <c r="S58" s="43" t="n">
        <f aca="false">R58*N58</f>
        <v>495255444127021</v>
      </c>
      <c r="T58" s="44" t="n">
        <f aca="false">S58*0.000000000027</f>
        <v>13371.8969914296</v>
      </c>
      <c r="U58" s="45" t="str">
        <f aca="false">D58</f>
        <v>Pu, Actinidos</v>
      </c>
      <c r="V58" s="56" t="n">
        <v>3E-005</v>
      </c>
      <c r="W58" s="56" t="n">
        <v>8E-005</v>
      </c>
      <c r="X58" s="57" t="n">
        <v>1</v>
      </c>
      <c r="Y58" s="57" t="n">
        <v>1</v>
      </c>
      <c r="Z58" s="57" t="n">
        <v>200</v>
      </c>
      <c r="AA58" s="57" t="n">
        <v>100</v>
      </c>
      <c r="AB58" s="57" t="n">
        <f aca="false">10^7</f>
        <v>10000000</v>
      </c>
      <c r="AC58" s="57" t="n">
        <f aca="false">2000000</f>
        <v>2000000</v>
      </c>
      <c r="AD58" s="57" t="n">
        <v>100</v>
      </c>
      <c r="AE58" s="57" t="n">
        <v>30</v>
      </c>
      <c r="AF58" s="58" t="n">
        <v>100</v>
      </c>
      <c r="AG58" s="58" t="n">
        <v>100</v>
      </c>
      <c r="AH58" s="57" t="n">
        <v>10</v>
      </c>
      <c r="AI58" s="57" t="n">
        <v>2</v>
      </c>
      <c r="AJ58" s="49" t="n">
        <f aca="false">$S58*(1/X58)*(1/Z58)*(1/AB58)*(1/AD58)*(1/AF58)*(1/AH58)</f>
        <v>2.47627722063511</v>
      </c>
      <c r="AK58" s="49" t="n">
        <f aca="false">$S58*(1/Y58)*(1/AA58)*(1/AC58)*(1/AE58)*(1/AG58)*(1/AI58)</f>
        <v>412.712870105851</v>
      </c>
      <c r="AL58" s="49" t="n">
        <f aca="false">AK58*0.000000000027</f>
        <v>1.1143247492858E-008</v>
      </c>
      <c r="AM58" s="49" t="str">
        <f aca="false">B58</f>
        <v>Am-241</v>
      </c>
      <c r="AO58" s="50" t="n">
        <f aca="false">$S58</f>
        <v>495255444127021</v>
      </c>
      <c r="AP58" s="50" t="n">
        <f aca="false">$S58*(1/X58)</f>
        <v>495255444127021</v>
      </c>
      <c r="AQ58" s="50" t="n">
        <f aca="false">$S58*(1/X58)*(1/Z58)</f>
        <v>2476277220635.11</v>
      </c>
      <c r="AR58" s="50" t="n">
        <f aca="false">$S58*(1/X58)*(1/Z58)*(1/AB58)</f>
        <v>247627.722063511</v>
      </c>
      <c r="AS58" s="50" t="n">
        <f aca="false">$S58*(1/X58)*(1/Z58)*(1/AB58)*(1/AD58)</f>
        <v>2476.27722063511</v>
      </c>
      <c r="AT58" s="51" t="n">
        <f aca="false">$S58*(1/X58)*(1/Z58)*(1/AB58)*(1/AD58)*(1/AF58)</f>
        <v>24.7627722063511</v>
      </c>
      <c r="AU58" s="50" t="n">
        <f aca="false">$S58*(1/X58)*(1/Z58)*(1/AB58)*(1/AD58)*(1/AF58)*(1/AH58)</f>
        <v>2.47627722063511</v>
      </c>
      <c r="AX58" s="50" t="n">
        <f aca="false">AO58</f>
        <v>495255444127021</v>
      </c>
      <c r="AY58" s="50" t="n">
        <f aca="false">AX58*(1/Y58)</f>
        <v>495255444127021</v>
      </c>
      <c r="AZ58" s="50" t="n">
        <f aca="false">AY58*(1/AA58)</f>
        <v>4952554441270.22</v>
      </c>
      <c r="BA58" s="50" t="n">
        <f aca="false">AZ58*(1/AC58)</f>
        <v>2476277.22063511</v>
      </c>
      <c r="BB58" s="50" t="n">
        <f aca="false">BA58*(1/AE58)</f>
        <v>82542.5740211702</v>
      </c>
      <c r="BC58" s="50" t="n">
        <f aca="false">BB58*(1/AG58)</f>
        <v>825.425740211702</v>
      </c>
      <c r="BD58" s="50" t="n">
        <f aca="false">BC58*(1/AI58)</f>
        <v>412.712870105851</v>
      </c>
      <c r="BF58" s="36" t="s">
        <v>205</v>
      </c>
      <c r="BG58" s="0" t="n">
        <v>13651526222.208</v>
      </c>
    </row>
    <row r="59" customFormat="false" ht="15.75" hidden="false" customHeight="true" outlineLevel="0" collapsed="false">
      <c r="B59" s="22" t="s">
        <v>206</v>
      </c>
      <c r="C59" s="23" t="n">
        <v>95243</v>
      </c>
      <c r="D59" s="23" t="s">
        <v>135</v>
      </c>
      <c r="E59" s="37" t="n">
        <v>5.53963E-006</v>
      </c>
      <c r="F59" s="37" t="s">
        <v>207</v>
      </c>
      <c r="G59" s="37" t="s">
        <v>208</v>
      </c>
      <c r="H59" s="41" t="s">
        <v>209</v>
      </c>
      <c r="I59" s="59"/>
      <c r="J59" s="27"/>
      <c r="K59" s="28" t="n">
        <v>5</v>
      </c>
      <c r="L59" s="28"/>
      <c r="M59" s="29" t="n">
        <f aca="false">IF(ISNUMBER(BG59),BG59,"")</f>
        <v>231943406688</v>
      </c>
      <c r="N59" s="29" t="n">
        <f aca="false">IF(ISNUMBER(M59),LN(2)/M59,0)</f>
        <v>2.98843235277792E-012</v>
      </c>
      <c r="O59" s="31" t="n">
        <f aca="false">10^-24</f>
        <v>1E-024</v>
      </c>
      <c r="P59" s="31" t="n">
        <f aca="false">PI()*$K$97^2*$K$98</f>
        <v>13978830.6714131</v>
      </c>
      <c r="Q59" s="32" t="n">
        <f aca="false">E59/O59</f>
        <v>5.53963E+018</v>
      </c>
      <c r="R59" s="32" t="n">
        <f aca="false">Q59*P59</f>
        <v>7.74375497522804E+025</v>
      </c>
      <c r="S59" s="43" t="n">
        <f aca="false">R59*N59</f>
        <v>231416878999564</v>
      </c>
      <c r="T59" s="44" t="n">
        <f aca="false">S59*0.000000000027</f>
        <v>6248.25573298824</v>
      </c>
      <c r="U59" s="45" t="str">
        <f aca="false">D59</f>
        <v>Pu, Actinidos</v>
      </c>
      <c r="V59" s="56" t="n">
        <v>3E-005</v>
      </c>
      <c r="W59" s="56" t="n">
        <v>8E-005</v>
      </c>
      <c r="X59" s="57" t="n">
        <v>1</v>
      </c>
      <c r="Y59" s="57" t="n">
        <v>1</v>
      </c>
      <c r="Z59" s="57" t="n">
        <v>200</v>
      </c>
      <c r="AA59" s="57" t="n">
        <v>100</v>
      </c>
      <c r="AB59" s="57" t="n">
        <f aca="false">10^7</f>
        <v>10000000</v>
      </c>
      <c r="AC59" s="57" t="n">
        <f aca="false">2000000</f>
        <v>2000000</v>
      </c>
      <c r="AD59" s="57" t="n">
        <v>100</v>
      </c>
      <c r="AE59" s="57" t="n">
        <v>30</v>
      </c>
      <c r="AF59" s="58" t="n">
        <v>100</v>
      </c>
      <c r="AG59" s="58" t="n">
        <v>100</v>
      </c>
      <c r="AH59" s="57" t="n">
        <v>10</v>
      </c>
      <c r="AI59" s="57" t="n">
        <v>2</v>
      </c>
      <c r="AJ59" s="49" t="n">
        <f aca="false">$S59*(1/X59)*(1/Z59)*(1/AB59)*(1/AD59)*(1/AF59)*(1/AH59)</f>
        <v>1.15708439499782</v>
      </c>
      <c r="AK59" s="49" t="n">
        <f aca="false">$S59*(1/Y59)*(1/AA59)*(1/AC59)*(1/AE59)*(1/AG59)*(1/AI59)</f>
        <v>192.847399166304</v>
      </c>
      <c r="AL59" s="49" t="n">
        <f aca="false">AK59*0.000000000027</f>
        <v>5.2068797774902E-009</v>
      </c>
      <c r="AM59" s="49" t="str">
        <f aca="false">B59</f>
        <v>Am-243</v>
      </c>
      <c r="AO59" s="50" t="n">
        <f aca="false">$S59</f>
        <v>231416878999564</v>
      </c>
      <c r="AP59" s="50" t="n">
        <f aca="false">$S59*(1/X59)</f>
        <v>231416878999564</v>
      </c>
      <c r="AQ59" s="50" t="n">
        <f aca="false">$S59*(1/X59)*(1/Z59)</f>
        <v>1157084394997.82</v>
      </c>
      <c r="AR59" s="50" t="n">
        <f aca="false">$S59*(1/X59)*(1/Z59)*(1/AB59)</f>
        <v>115708.439499782</v>
      </c>
      <c r="AS59" s="50" t="n">
        <f aca="false">$S59*(1/X59)*(1/Z59)*(1/AB59)*(1/AD59)</f>
        <v>1157.08439499782</v>
      </c>
      <c r="AT59" s="51" t="n">
        <f aca="false">$S59*(1/X59)*(1/Z59)*(1/AB59)*(1/AD59)*(1/AF59)</f>
        <v>11.5708439499782</v>
      </c>
      <c r="AU59" s="50" t="n">
        <f aca="false">$S59*(1/X59)*(1/Z59)*(1/AB59)*(1/AD59)*(1/AF59)*(1/AH59)</f>
        <v>1.15708439499782</v>
      </c>
      <c r="AX59" s="50" t="n">
        <f aca="false">AO59</f>
        <v>231416878999564</v>
      </c>
      <c r="AY59" s="50" t="n">
        <f aca="false">AX59*(1/Y59)</f>
        <v>231416878999564</v>
      </c>
      <c r="AZ59" s="50" t="n">
        <f aca="false">AY59*(1/AA59)</f>
        <v>2314168789995.64</v>
      </c>
      <c r="BA59" s="50" t="n">
        <f aca="false">AZ59*(1/AC59)</f>
        <v>1157084.39499782</v>
      </c>
      <c r="BB59" s="50" t="n">
        <f aca="false">BA59*(1/AE59)</f>
        <v>38569.4798332607</v>
      </c>
      <c r="BC59" s="50" t="n">
        <f aca="false">BB59*(1/AG59)</f>
        <v>385.694798332607</v>
      </c>
      <c r="BD59" s="50" t="n">
        <f aca="false">BC59*(1/AI59)</f>
        <v>192.847399166304</v>
      </c>
      <c r="BF59" s="36" t="s">
        <v>210</v>
      </c>
      <c r="BG59" s="0" t="n">
        <v>231943406688</v>
      </c>
    </row>
    <row r="60" customFormat="false" ht="15.75" hidden="false" customHeight="true" outlineLevel="0" collapsed="false">
      <c r="B60" s="22" t="s">
        <v>211</v>
      </c>
      <c r="C60" s="23" t="n">
        <v>38089</v>
      </c>
      <c r="D60" s="23" t="s">
        <v>212</v>
      </c>
      <c r="E60" s="37" t="n">
        <v>2.33352E-005</v>
      </c>
      <c r="F60" s="37" t="s">
        <v>213</v>
      </c>
      <c r="G60" s="37" t="s">
        <v>214</v>
      </c>
      <c r="H60" s="22" t="s">
        <v>215</v>
      </c>
      <c r="I60" s="26"/>
      <c r="J60" s="67" t="n">
        <v>50.57</v>
      </c>
      <c r="K60" s="68"/>
      <c r="L60" s="68"/>
      <c r="M60" s="29" t="n">
        <f aca="false">IF(ISNUMBER(BG60),BG60,"")</f>
        <v>4368643.2</v>
      </c>
      <c r="N60" s="29" t="n">
        <f aca="false">IF(ISNUMBER(M60),LN(2)/M60,0)</f>
        <v>1.58664177600941E-007</v>
      </c>
      <c r="O60" s="31" t="n">
        <f aca="false">10^-24</f>
        <v>1E-024</v>
      </c>
      <c r="P60" s="31" t="n">
        <f aca="false">PI()*$K$97^2*$K$98</f>
        <v>13978830.6714131</v>
      </c>
      <c r="Q60" s="32" t="n">
        <f aca="false">E60/O60</f>
        <v>2.33352E+019</v>
      </c>
      <c r="R60" s="32" t="n">
        <f aca="false">Q60*P60</f>
        <v>3.2619880948356E+026</v>
      </c>
      <c r="S60" s="43" t="n">
        <f aca="false">R60*N60</f>
        <v>5.17560658411152E+019</v>
      </c>
      <c r="T60" s="44" t="n">
        <f aca="false">S60*0.000000000027</f>
        <v>1397413777.71011</v>
      </c>
      <c r="U60" s="45" t="str">
        <f aca="false">D60</f>
        <v>Sr, Ba, Eu</v>
      </c>
      <c r="V60" s="46" t="n">
        <v>3E-005</v>
      </c>
      <c r="W60" s="46" t="n">
        <v>8E-005</v>
      </c>
      <c r="X60" s="38" t="n">
        <v>1</v>
      </c>
      <c r="Y60" s="38" t="n">
        <v>1</v>
      </c>
      <c r="Z60" s="38" t="n">
        <v>1</v>
      </c>
      <c r="AA60" s="38" t="n">
        <v>1</v>
      </c>
      <c r="AB60" s="38" t="n">
        <f aca="false">10^6</f>
        <v>1000000</v>
      </c>
      <c r="AC60" s="38" t="n">
        <f aca="false">200000</f>
        <v>200000</v>
      </c>
      <c r="AD60" s="38" t="n">
        <v>100</v>
      </c>
      <c r="AE60" s="38" t="n">
        <v>30</v>
      </c>
      <c r="AF60" s="48" t="n">
        <v>100</v>
      </c>
      <c r="AG60" s="48" t="n">
        <v>100</v>
      </c>
      <c r="AH60" s="38" t="n">
        <v>10</v>
      </c>
      <c r="AI60" s="38" t="n">
        <v>2</v>
      </c>
      <c r="AJ60" s="49" t="n">
        <f aca="false">$S60*(1/X60)*(1/Z60)*(1/AB60)*(1/AD60)*(1/AF60)*(1/AH60)</f>
        <v>517560658.411152</v>
      </c>
      <c r="AK60" s="49" t="n">
        <f aca="false">$S60*(1/Y60)*(1/AA60)*(1/AC60)*(1/AE60)*(1/AG60)*(1/AI60)</f>
        <v>43130054867.596</v>
      </c>
      <c r="AL60" s="49" t="n">
        <f aca="false">AK60*0.000000000027</f>
        <v>1.16451148142509</v>
      </c>
      <c r="AM60" s="49" t="str">
        <f aca="false">B60</f>
        <v>Sr-89</v>
      </c>
      <c r="AO60" s="50" t="n">
        <f aca="false">$S60</f>
        <v>5.17560658411152E+019</v>
      </c>
      <c r="AP60" s="50" t="n">
        <f aca="false">$S60*(1/X60)</f>
        <v>5.17560658411152E+019</v>
      </c>
      <c r="AQ60" s="50" t="n">
        <f aca="false">$S60*(1/X60)*(1/Z60)</f>
        <v>5.17560658411152E+019</v>
      </c>
      <c r="AR60" s="50" t="n">
        <f aca="false">$S60*(1/X60)*(1/Z60)*(1/AB60)</f>
        <v>51756065841115.2</v>
      </c>
      <c r="AS60" s="50" t="n">
        <f aca="false">$S60*(1/X60)*(1/Z60)*(1/AB60)*(1/AD60)</f>
        <v>517560658411.152</v>
      </c>
      <c r="AT60" s="51" t="n">
        <f aca="false">$S60*(1/X60)*(1/Z60)*(1/AB60)*(1/AD60)*(1/AF60)</f>
        <v>5175606584.11152</v>
      </c>
      <c r="AU60" s="50" t="n">
        <f aca="false">$S60*(1/X60)*(1/Z60)*(1/AB60)*(1/AD60)*(1/AF60)*(1/AH60)</f>
        <v>517560658.411152</v>
      </c>
      <c r="AX60" s="50" t="n">
        <f aca="false">AO60</f>
        <v>5.17560658411152E+019</v>
      </c>
      <c r="AY60" s="50" t="n">
        <f aca="false">AX60*(1/Y60)</f>
        <v>5.17560658411152E+019</v>
      </c>
      <c r="AZ60" s="50" t="n">
        <f aca="false">AY60*(1/AA60)</f>
        <v>5.17560658411152E+019</v>
      </c>
      <c r="BA60" s="50" t="n">
        <f aca="false">AZ60*(1/AC60)</f>
        <v>258780329205576</v>
      </c>
      <c r="BB60" s="50" t="n">
        <f aca="false">BA60*(1/AE60)</f>
        <v>8626010973519.21</v>
      </c>
      <c r="BC60" s="50" t="n">
        <f aca="false">BB60*(1/AG60)</f>
        <v>86260109735.1921</v>
      </c>
      <c r="BD60" s="50" t="n">
        <f aca="false">BC60*(1/AI60)</f>
        <v>43130054867.596</v>
      </c>
      <c r="BF60" s="36" t="s">
        <v>216</v>
      </c>
      <c r="BG60" s="0" t="n">
        <v>4368643.2</v>
      </c>
    </row>
    <row r="61" customFormat="false" ht="15.75" hidden="false" customHeight="true" outlineLevel="0" collapsed="false">
      <c r="B61" s="22" t="s">
        <v>217</v>
      </c>
      <c r="C61" s="23" t="n">
        <v>38090</v>
      </c>
      <c r="D61" s="23" t="s">
        <v>212</v>
      </c>
      <c r="E61" s="37" t="n">
        <v>0.000123058</v>
      </c>
      <c r="F61" s="37" t="s">
        <v>218</v>
      </c>
      <c r="G61" s="37" t="s">
        <v>219</v>
      </c>
      <c r="H61" s="22" t="s">
        <v>219</v>
      </c>
      <c r="I61" s="26" t="n">
        <v>28.8</v>
      </c>
      <c r="J61" s="27"/>
      <c r="K61" s="28"/>
      <c r="L61" s="28"/>
      <c r="M61" s="29" t="n">
        <f aca="false">IF(ISNUMBER(BG61),BG61,"")</f>
        <v>912310732.9728</v>
      </c>
      <c r="N61" s="29" t="n">
        <f aca="false">IF(ISNUMBER(M61),LN(2)/M61,0)</f>
        <v>7.59770937146928E-010</v>
      </c>
      <c r="O61" s="31" t="n">
        <f aca="false">10^-24</f>
        <v>1E-024</v>
      </c>
      <c r="P61" s="31" t="n">
        <f aca="false">PI()*$K$97^2*$K$98</f>
        <v>13978830.6714131</v>
      </c>
      <c r="Q61" s="32" t="n">
        <f aca="false">E61/O61</f>
        <v>1.23058E+020</v>
      </c>
      <c r="R61" s="32" t="n">
        <f aca="false">Q61*P61</f>
        <v>1.72020694476276E+027</v>
      </c>
      <c r="S61" s="43" t="n">
        <f aca="false">R61*N61</f>
        <v>1.30696324250906E+018</v>
      </c>
      <c r="T61" s="44" t="n">
        <f aca="false">S61*0.000000000027</f>
        <v>35288007.5477445</v>
      </c>
      <c r="U61" s="45" t="str">
        <f aca="false">D61</f>
        <v>Sr, Ba, Eu</v>
      </c>
      <c r="V61" s="46" t="n">
        <v>3E-005</v>
      </c>
      <c r="W61" s="46" t="n">
        <v>8E-005</v>
      </c>
      <c r="X61" s="38" t="n">
        <v>1</v>
      </c>
      <c r="Y61" s="38" t="n">
        <v>1</v>
      </c>
      <c r="Z61" s="38" t="n">
        <v>1</v>
      </c>
      <c r="AA61" s="38" t="n">
        <v>1</v>
      </c>
      <c r="AB61" s="38" t="n">
        <f aca="false">10^6</f>
        <v>1000000</v>
      </c>
      <c r="AC61" s="38" t="n">
        <f aca="false">200000</f>
        <v>200000</v>
      </c>
      <c r="AD61" s="38" t="n">
        <v>100</v>
      </c>
      <c r="AE61" s="38" t="n">
        <v>30</v>
      </c>
      <c r="AF61" s="48" t="n">
        <v>100</v>
      </c>
      <c r="AG61" s="48" t="n">
        <v>100</v>
      </c>
      <c r="AH61" s="38" t="n">
        <v>10</v>
      </c>
      <c r="AI61" s="38" t="n">
        <v>2</v>
      </c>
      <c r="AJ61" s="49" t="n">
        <f aca="false">$S61*(1/X61)*(1/Z61)*(1/AB61)*(1/AD61)*(1/AF61)*(1/AH61)</f>
        <v>13069632.4250906</v>
      </c>
      <c r="AK61" s="49" t="n">
        <f aca="false">$S61*(1/Y61)*(1/AA61)*(1/AC61)*(1/AE61)*(1/AG61)*(1/AI61)</f>
        <v>1089136035.42421</v>
      </c>
      <c r="AL61" s="49" t="n">
        <f aca="false">AK61*0.000000000027</f>
        <v>0.0294066729564538</v>
      </c>
      <c r="AM61" s="49" t="str">
        <f aca="false">B61</f>
        <v>Sr-90</v>
      </c>
      <c r="AO61" s="50" t="n">
        <f aca="false">$S61</f>
        <v>1.30696324250906E+018</v>
      </c>
      <c r="AP61" s="50" t="n">
        <f aca="false">$S61*(1/X61)</f>
        <v>1.30696324250906E+018</v>
      </c>
      <c r="AQ61" s="50" t="n">
        <f aca="false">$S61*(1/X61)*(1/Z61)</f>
        <v>1.30696324250906E+018</v>
      </c>
      <c r="AR61" s="50" t="n">
        <f aca="false">$S61*(1/X61)*(1/Z61)*(1/AB61)</f>
        <v>1306963242509.06</v>
      </c>
      <c r="AS61" s="50" t="n">
        <f aca="false">$S61*(1/X61)*(1/Z61)*(1/AB61)*(1/AD61)</f>
        <v>13069632425.0906</v>
      </c>
      <c r="AT61" s="51" t="n">
        <f aca="false">$S61*(1/X61)*(1/Z61)*(1/AB61)*(1/AD61)*(1/AF61)</f>
        <v>130696324.250906</v>
      </c>
      <c r="AU61" s="50" t="n">
        <f aca="false">$S61*(1/X61)*(1/Z61)*(1/AB61)*(1/AD61)*(1/AF61)*(1/AH61)</f>
        <v>13069632.4250906</v>
      </c>
      <c r="AX61" s="50" t="n">
        <f aca="false">AO61</f>
        <v>1.30696324250906E+018</v>
      </c>
      <c r="AY61" s="50" t="n">
        <f aca="false">AX61*(1/Y61)</f>
        <v>1.30696324250906E+018</v>
      </c>
      <c r="AZ61" s="50" t="n">
        <f aca="false">AY61*(1/AA61)</f>
        <v>1.30696324250906E+018</v>
      </c>
      <c r="BA61" s="50" t="n">
        <f aca="false">AZ61*(1/AC61)</f>
        <v>6534816212545.28</v>
      </c>
      <c r="BB61" s="50" t="n">
        <f aca="false">BA61*(1/AE61)</f>
        <v>217827207084.843</v>
      </c>
      <c r="BC61" s="50" t="n">
        <f aca="false">BB61*(1/AG61)</f>
        <v>2178272070.84843</v>
      </c>
      <c r="BD61" s="50" t="n">
        <f aca="false">BC61*(1/AI61)</f>
        <v>1089136035.42421</v>
      </c>
      <c r="BF61" s="36" t="s">
        <v>220</v>
      </c>
      <c r="BG61" s="0" t="n">
        <v>912310732.9728</v>
      </c>
    </row>
    <row r="62" customFormat="false" ht="15.75" hidden="false" customHeight="true" outlineLevel="0" collapsed="false">
      <c r="B62" s="22" t="s">
        <v>221</v>
      </c>
      <c r="C62" s="23" t="n">
        <v>56138</v>
      </c>
      <c r="D62" s="23" t="s">
        <v>212</v>
      </c>
      <c r="E62" s="37" t="n">
        <v>0.000167617</v>
      </c>
      <c r="F62" s="37"/>
      <c r="G62" s="37" t="s">
        <v>53</v>
      </c>
      <c r="H62" s="41" t="s">
        <v>222</v>
      </c>
      <c r="I62" s="42" t="n">
        <f aca="false">30.018</f>
        <v>30.018</v>
      </c>
      <c r="J62" s="27"/>
      <c r="K62" s="28"/>
      <c r="L62" s="28"/>
      <c r="M62" s="29" t="str">
        <f aca="false">IF(ISNUMBER(BG62),BG62,"")</f>
        <v/>
      </c>
      <c r="N62" s="29" t="n">
        <f aca="false">IF(ISNUMBER(M62),LN(2)/M62,0)</f>
        <v>0</v>
      </c>
      <c r="O62" s="31" t="n">
        <f aca="false">10^-24</f>
        <v>1E-024</v>
      </c>
      <c r="P62" s="31" t="n">
        <f aca="false">PI()*$K$97^2*$K$98</f>
        <v>13978830.6714131</v>
      </c>
      <c r="Q62" s="32" t="n">
        <f aca="false">E62/O62</f>
        <v>1.67617E+020</v>
      </c>
      <c r="R62" s="32" t="n">
        <f aca="false">Q62*P62</f>
        <v>2.34308966065026E+027</v>
      </c>
      <c r="S62" s="43" t="n">
        <f aca="false">R62*N62</f>
        <v>0</v>
      </c>
      <c r="T62" s="44" t="n">
        <f aca="false">S62*0.000000000027</f>
        <v>0</v>
      </c>
      <c r="U62" s="45" t="str">
        <f aca="false">D62</f>
        <v>Sr, Ba, Eu</v>
      </c>
      <c r="V62" s="46" t="n">
        <v>3E-005</v>
      </c>
      <c r="W62" s="46" t="n">
        <v>8E-005</v>
      </c>
      <c r="X62" s="38" t="n">
        <v>1</v>
      </c>
      <c r="Y62" s="38" t="n">
        <v>1</v>
      </c>
      <c r="Z62" s="38" t="n">
        <v>1</v>
      </c>
      <c r="AA62" s="38" t="n">
        <v>1</v>
      </c>
      <c r="AB62" s="38" t="n">
        <f aca="false">10^6</f>
        <v>1000000</v>
      </c>
      <c r="AC62" s="38" t="n">
        <f aca="false">200000</f>
        <v>200000</v>
      </c>
      <c r="AD62" s="38" t="n">
        <v>100</v>
      </c>
      <c r="AE62" s="38" t="n">
        <v>30</v>
      </c>
      <c r="AF62" s="48" t="n">
        <v>100</v>
      </c>
      <c r="AG62" s="48" t="n">
        <v>100</v>
      </c>
      <c r="AH62" s="38" t="n">
        <v>10</v>
      </c>
      <c r="AI62" s="38" t="n">
        <v>2</v>
      </c>
      <c r="AJ62" s="49" t="n">
        <f aca="false">$S62*(1/X62)*(1/Z62)*(1/AB62)*(1/AD62)*(1/AF62)*(1/AH62)</f>
        <v>0</v>
      </c>
      <c r="AK62" s="49" t="n">
        <f aca="false">$S62*(1/Y62)*(1/AA62)*(1/AC62)*(1/AE62)*(1/AG62)*(1/AI62)</f>
        <v>0</v>
      </c>
      <c r="AL62" s="49" t="n">
        <f aca="false">AK62*0.000000000027</f>
        <v>0</v>
      </c>
      <c r="AM62" s="49" t="str">
        <f aca="false">B62</f>
        <v>Ba-138</v>
      </c>
      <c r="AO62" s="50" t="n">
        <f aca="false">$S62</f>
        <v>0</v>
      </c>
      <c r="AP62" s="50" t="n">
        <f aca="false">$S62*(1/X62)</f>
        <v>0</v>
      </c>
      <c r="AQ62" s="50" t="n">
        <f aca="false">$S62*(1/X62)*(1/Z62)</f>
        <v>0</v>
      </c>
      <c r="AR62" s="50" t="n">
        <f aca="false">$S62*(1/X62)*(1/Z62)*(1/AB62)</f>
        <v>0</v>
      </c>
      <c r="AS62" s="50" t="n">
        <f aca="false">$S62*(1/X62)*(1/Z62)*(1/AB62)*(1/AD62)</f>
        <v>0</v>
      </c>
      <c r="AT62" s="51" t="n">
        <f aca="false">$S62*(1/X62)*(1/Z62)*(1/AB62)*(1/AD62)*(1/AF62)</f>
        <v>0</v>
      </c>
      <c r="AU62" s="50" t="n">
        <f aca="false">$S62*(1/X62)*(1/Z62)*(1/AB62)*(1/AD62)*(1/AF62)*(1/AH62)</f>
        <v>0</v>
      </c>
      <c r="AX62" s="50" t="n">
        <f aca="false">AO62</f>
        <v>0</v>
      </c>
      <c r="AY62" s="50" t="n">
        <f aca="false">AX62*(1/Y62)</f>
        <v>0</v>
      </c>
      <c r="AZ62" s="50" t="n">
        <f aca="false">AY62*(1/AA62)</f>
        <v>0</v>
      </c>
      <c r="BA62" s="50" t="n">
        <f aca="false">AZ62*(1/AC62)</f>
        <v>0</v>
      </c>
      <c r="BB62" s="50" t="n">
        <f aca="false">BA62*(1/AE62)</f>
        <v>0</v>
      </c>
      <c r="BC62" s="50" t="n">
        <f aca="false">BB62*(1/AG62)</f>
        <v>0</v>
      </c>
      <c r="BD62" s="50" t="n">
        <f aca="false">BC62*(1/AI62)</f>
        <v>0</v>
      </c>
      <c r="BF62" s="36" t="s">
        <v>54</v>
      </c>
    </row>
    <row r="63" customFormat="false" ht="15.75" hidden="false" customHeight="true" outlineLevel="0" collapsed="false">
      <c r="B63" s="22" t="s">
        <v>223</v>
      </c>
      <c r="C63" s="23" t="n">
        <v>56140</v>
      </c>
      <c r="D63" s="23" t="s">
        <v>212</v>
      </c>
      <c r="E63" s="37" t="n">
        <v>1.10185E-005</v>
      </c>
      <c r="F63" s="37" t="s">
        <v>224</v>
      </c>
      <c r="G63" s="37" t="s">
        <v>225</v>
      </c>
      <c r="H63" s="41" t="s">
        <v>226</v>
      </c>
      <c r="I63" s="42"/>
      <c r="J63" s="27" t="n">
        <v>12.75</v>
      </c>
      <c r="K63" s="28"/>
      <c r="L63" s="28"/>
      <c r="M63" s="29" t="n">
        <f aca="false">IF(ISNUMBER(BG63),BG63,"")</f>
        <v>1101893.76</v>
      </c>
      <c r="N63" s="29" t="n">
        <f aca="false">IF(ISNUMBER(M63),LN(2)/M63,0)</f>
        <v>6.29050826605956E-007</v>
      </c>
      <c r="O63" s="31" t="n">
        <f aca="false">10^-24</f>
        <v>1E-024</v>
      </c>
      <c r="P63" s="31" t="n">
        <f aca="false">PI()*$K$97^2*$K$98</f>
        <v>13978830.6714131</v>
      </c>
      <c r="Q63" s="32" t="n">
        <f aca="false">E63/O63</f>
        <v>1.10185E+019</v>
      </c>
      <c r="R63" s="32" t="n">
        <f aca="false">Q63*P63</f>
        <v>1.54025745752966E+026</v>
      </c>
      <c r="S63" s="43" t="n">
        <f aca="false">R63*N63</f>
        <v>9.6890022684502E+019</v>
      </c>
      <c r="T63" s="44" t="n">
        <f aca="false">S63*0.000000000027</f>
        <v>2616030612.48155</v>
      </c>
      <c r="U63" s="45" t="str">
        <f aca="false">D63</f>
        <v>Sr, Ba, Eu</v>
      </c>
      <c r="V63" s="46" t="n">
        <v>3E-005</v>
      </c>
      <c r="W63" s="46" t="n">
        <v>8E-005</v>
      </c>
      <c r="X63" s="38" t="n">
        <v>1</v>
      </c>
      <c r="Y63" s="38" t="n">
        <v>1</v>
      </c>
      <c r="Z63" s="38" t="n">
        <v>1</v>
      </c>
      <c r="AA63" s="38" t="n">
        <v>1</v>
      </c>
      <c r="AB63" s="38" t="n">
        <f aca="false">10^6</f>
        <v>1000000</v>
      </c>
      <c r="AC63" s="38" t="n">
        <f aca="false">200000</f>
        <v>200000</v>
      </c>
      <c r="AD63" s="38" t="n">
        <v>100</v>
      </c>
      <c r="AE63" s="38" t="n">
        <v>30</v>
      </c>
      <c r="AF63" s="48" t="n">
        <v>100</v>
      </c>
      <c r="AG63" s="48" t="n">
        <v>100</v>
      </c>
      <c r="AH63" s="38" t="n">
        <v>10</v>
      </c>
      <c r="AI63" s="38" t="n">
        <v>2</v>
      </c>
      <c r="AJ63" s="49" t="n">
        <f aca="false">$S63*(1/X63)*(1/Z63)*(1/AB63)*(1/AD63)*(1/AF63)*(1/AH63)</f>
        <v>968900226.84502</v>
      </c>
      <c r="AK63" s="49" t="n">
        <f aca="false">$S63*(1/Y63)*(1/AA63)*(1/AC63)*(1/AE63)*(1/AG63)*(1/AI63)</f>
        <v>80741685570.4183</v>
      </c>
      <c r="AL63" s="49" t="n">
        <f aca="false">AK63*0.000000000027</f>
        <v>2.18002551040129</v>
      </c>
      <c r="AM63" s="49" t="str">
        <f aca="false">B63</f>
        <v>Ba-140</v>
      </c>
      <c r="AO63" s="50" t="n">
        <f aca="false">$S63</f>
        <v>9.6890022684502E+019</v>
      </c>
      <c r="AP63" s="50" t="n">
        <f aca="false">$S63*(1/X63)</f>
        <v>9.6890022684502E+019</v>
      </c>
      <c r="AQ63" s="50" t="n">
        <f aca="false">$S63*(1/X63)*(1/Z63)</f>
        <v>9.6890022684502E+019</v>
      </c>
      <c r="AR63" s="50" t="n">
        <f aca="false">$S63*(1/X63)*(1/Z63)*(1/AB63)</f>
        <v>96890022684502</v>
      </c>
      <c r="AS63" s="50" t="n">
        <f aca="false">$S63*(1/X63)*(1/Z63)*(1/AB63)*(1/AD63)</f>
        <v>968900226845.02</v>
      </c>
      <c r="AT63" s="51" t="n">
        <f aca="false">$S63*(1/X63)*(1/Z63)*(1/AB63)*(1/AD63)*(1/AF63)</f>
        <v>9689002268.4502</v>
      </c>
      <c r="AU63" s="50" t="n">
        <f aca="false">$S63*(1/X63)*(1/Z63)*(1/AB63)*(1/AD63)*(1/AF63)*(1/AH63)</f>
        <v>968900226.84502</v>
      </c>
      <c r="AX63" s="50" t="n">
        <f aca="false">AO63</f>
        <v>9.6890022684502E+019</v>
      </c>
      <c r="AY63" s="50" t="n">
        <f aca="false">AX63*(1/Y63)</f>
        <v>9.6890022684502E+019</v>
      </c>
      <c r="AZ63" s="50" t="n">
        <f aca="false">AY63*(1/AA63)</f>
        <v>9.6890022684502E+019</v>
      </c>
      <c r="BA63" s="50" t="n">
        <f aca="false">AZ63*(1/AC63)</f>
        <v>484450113422510</v>
      </c>
      <c r="BB63" s="50" t="n">
        <f aca="false">BA63*(1/AE63)</f>
        <v>16148337114083.7</v>
      </c>
      <c r="BC63" s="50" t="n">
        <f aca="false">BB63*(1/AG63)</f>
        <v>161483371140.837</v>
      </c>
      <c r="BD63" s="50" t="n">
        <f aca="false">BC63*(1/AI63)</f>
        <v>80741685570.4183</v>
      </c>
      <c r="BF63" s="36" t="s">
        <v>227</v>
      </c>
      <c r="BG63" s="0" t="n">
        <v>1101893.76</v>
      </c>
    </row>
    <row r="64" customFormat="false" ht="15.75" hidden="false" customHeight="true" outlineLevel="0" collapsed="false">
      <c r="B64" s="22" t="s">
        <v>228</v>
      </c>
      <c r="C64" s="23" t="n">
        <v>61147</v>
      </c>
      <c r="D64" s="23" t="s">
        <v>229</v>
      </c>
      <c r="E64" s="37" t="n">
        <v>2.53495E-005</v>
      </c>
      <c r="F64" s="37"/>
      <c r="G64" s="37" t="s">
        <v>230</v>
      </c>
      <c r="H64" s="41" t="s">
        <v>231</v>
      </c>
      <c r="I64" s="59"/>
      <c r="J64" s="27"/>
      <c r="K64" s="28" t="n">
        <v>1.6</v>
      </c>
      <c r="L64" s="28"/>
      <c r="M64" s="29" t="n">
        <f aca="false">IF(ISNUMBER(BG64),BG64,"")</f>
        <v>82786439.878272</v>
      </c>
      <c r="N64" s="29" t="n">
        <f aca="false">IF(ISNUMBER(M64),LN(2)/M64,0)</f>
        <v>8.37271395628486E-009</v>
      </c>
      <c r="O64" s="31" t="n">
        <f aca="false">10^-24</f>
        <v>1E-024</v>
      </c>
      <c r="P64" s="31" t="n">
        <f aca="false">PI()*$K$97^2*$K$98</f>
        <v>13978830.6714131</v>
      </c>
      <c r="Q64" s="32" t="n">
        <f aca="false">E64/O64</f>
        <v>2.53495E+019</v>
      </c>
      <c r="R64" s="32" t="n">
        <f aca="false">Q64*P64</f>
        <v>3.54356368104988E+026</v>
      </c>
      <c r="S64" s="43" t="n">
        <f aca="false">R64*N64</f>
        <v>2.96692450873104E+018</v>
      </c>
      <c r="T64" s="44" t="n">
        <f aca="false">S64*0.000000000027</f>
        <v>80106961.7357381</v>
      </c>
      <c r="U64" s="45" t="str">
        <f aca="false">D64</f>
        <v>Isot tierras raras</v>
      </c>
      <c r="V64" s="46" t="n">
        <v>3E-005</v>
      </c>
      <c r="W64" s="46" t="n">
        <v>8E-005</v>
      </c>
      <c r="X64" s="38" t="n">
        <v>1</v>
      </c>
      <c r="Y64" s="38" t="n">
        <v>1</v>
      </c>
      <c r="Z64" s="38" t="n">
        <v>100</v>
      </c>
      <c r="AA64" s="38" t="n">
        <v>50</v>
      </c>
      <c r="AB64" s="38" t="n">
        <v>10000000</v>
      </c>
      <c r="AC64" s="38" t="n">
        <v>2000000</v>
      </c>
      <c r="AD64" s="38" t="n">
        <v>100</v>
      </c>
      <c r="AE64" s="38" t="n">
        <v>30</v>
      </c>
      <c r="AF64" s="48" t="n">
        <v>100</v>
      </c>
      <c r="AG64" s="48" t="n">
        <v>100</v>
      </c>
      <c r="AH64" s="38" t="n">
        <v>10</v>
      </c>
      <c r="AI64" s="38" t="n">
        <v>2</v>
      </c>
      <c r="AJ64" s="49" t="n">
        <f aca="false">$S64*(1/X64)*(1/Z64)*(1/AB64)*(1/AD64)*(1/AF64)</f>
        <v>296692.450873104</v>
      </c>
      <c r="AK64" s="49" t="n">
        <f aca="false">$S64*(1/Y64)*(1/AA64)*(1/AC64)*(1/AE64)*(1/AG64)</f>
        <v>9889748.36243681</v>
      </c>
      <c r="AL64" s="49" t="n">
        <f aca="false">AK64*0.000000000027</f>
        <v>0.000267023205785794</v>
      </c>
      <c r="AM64" s="49" t="str">
        <f aca="false">B64</f>
        <v>Pm-147</v>
      </c>
      <c r="AO64" s="50" t="n">
        <f aca="false">$S64</f>
        <v>2.96692450873104E+018</v>
      </c>
      <c r="AP64" s="50" t="n">
        <f aca="false">$S64*(1/X64)</f>
        <v>2.96692450873104E+018</v>
      </c>
      <c r="AQ64" s="50" t="n">
        <f aca="false">$S64*(1/X64)*(1/Z64)</f>
        <v>29669245087310400</v>
      </c>
      <c r="AR64" s="50" t="n">
        <f aca="false">$S64*(1/X64)*(1/Z64)*(1/AB64)</f>
        <v>2966924508.73104</v>
      </c>
      <c r="AS64" s="50" t="n">
        <f aca="false">$S64*(1/X64)*(1/Z64)*(1/AB64)*(1/AD64)</f>
        <v>29669245.0873104</v>
      </c>
      <c r="AT64" s="51" t="n">
        <f aca="false">$S64*(1/X64)*(1/Z64)*(1/AB64)*(1/AD64)*(1/AF64)</f>
        <v>296692.450873104</v>
      </c>
      <c r="AU64" s="50" t="n">
        <f aca="false">$S64*(1/X64)*(1/Z64)*(1/AB64)*(1/AD64)*(1/AF64)*(1/AH64)</f>
        <v>29669.2450873104</v>
      </c>
      <c r="AX64" s="50" t="n">
        <f aca="false">AO64</f>
        <v>2.96692450873104E+018</v>
      </c>
      <c r="AY64" s="50" t="n">
        <f aca="false">AX64*(1/Y64)</f>
        <v>2.96692450873104E+018</v>
      </c>
      <c r="AZ64" s="50" t="n">
        <f aca="false">AY64*(1/AA64)</f>
        <v>59338490174620900</v>
      </c>
      <c r="BA64" s="50" t="n">
        <f aca="false">AZ64*(1/AC64)</f>
        <v>29669245087.3104</v>
      </c>
      <c r="BB64" s="50" t="n">
        <f aca="false">BA64*(1/AE64)</f>
        <v>988974836.243681</v>
      </c>
      <c r="BC64" s="50" t="n">
        <f aca="false">BB64*(1/AG64)</f>
        <v>9889748.36243681</v>
      </c>
      <c r="BD64" s="50" t="n">
        <f aca="false">BC64*(1/AI64)</f>
        <v>4944874.1812184</v>
      </c>
      <c r="BF64" s="36" t="s">
        <v>232</v>
      </c>
      <c r="BG64" s="0" t="n">
        <v>82786439.878272</v>
      </c>
      <c r="BH64" s="36" t="s">
        <v>233</v>
      </c>
      <c r="BI64" s="36" t="s">
        <v>234</v>
      </c>
    </row>
    <row r="65" customFormat="false" ht="15.75" hidden="false" customHeight="true" outlineLevel="0" collapsed="false">
      <c r="B65" s="69" t="s">
        <v>235</v>
      </c>
      <c r="C65" s="70" t="n">
        <v>61149</v>
      </c>
      <c r="D65" s="70" t="s">
        <v>229</v>
      </c>
      <c r="E65" s="71" t="n">
        <v>3.50308E-007</v>
      </c>
      <c r="F65" s="71"/>
      <c r="G65" s="71" t="s">
        <v>236</v>
      </c>
      <c r="H65" s="72" t="s">
        <v>237</v>
      </c>
      <c r="I65" s="73"/>
      <c r="J65" s="61"/>
      <c r="K65" s="62"/>
      <c r="L65" s="62" t="n">
        <v>2</v>
      </c>
      <c r="M65" s="74" t="n">
        <f aca="false">IF(ISNUMBER(BG65),BG65,"")</f>
        <v>191088</v>
      </c>
      <c r="N65" s="74" t="n">
        <f aca="false">IF(ISNUMBER(M65),LN(2)/M65,0)</f>
        <v>3.62737158042339E-006</v>
      </c>
      <c r="O65" s="75" t="n">
        <f aca="false">10^-24</f>
        <v>1E-024</v>
      </c>
      <c r="P65" s="75" t="n">
        <f aca="false">PI()*$K$97^2*$K$98</f>
        <v>13978830.6714131</v>
      </c>
      <c r="Q65" s="39" t="n">
        <f aca="false">E65/O65</f>
        <v>3.50308E+017</v>
      </c>
      <c r="R65" s="39" t="n">
        <f aca="false">Q65*P65</f>
        <v>4.8968962148414E+024</v>
      </c>
      <c r="S65" s="76" t="n">
        <f aca="false">R65*N65</f>
        <v>1.77628621619986E+019</v>
      </c>
      <c r="T65" s="44" t="n">
        <f aca="false">S65*0.000000000027</f>
        <v>479597278.373961</v>
      </c>
      <c r="U65" s="77" t="str">
        <f aca="false">D65</f>
        <v>Isot tierras raras</v>
      </c>
      <c r="V65" s="78" t="n">
        <v>3E-005</v>
      </c>
      <c r="W65" s="78" t="n">
        <v>8E-005</v>
      </c>
      <c r="X65" s="38" t="n">
        <v>1</v>
      </c>
      <c r="Y65" s="38" t="n">
        <v>1</v>
      </c>
      <c r="Z65" s="38" t="n">
        <v>100</v>
      </c>
      <c r="AA65" s="38" t="n">
        <v>50</v>
      </c>
      <c r="AB65" s="38" t="n">
        <v>10000000</v>
      </c>
      <c r="AC65" s="38" t="n">
        <v>2000000</v>
      </c>
      <c r="AD65" s="38" t="n">
        <v>100</v>
      </c>
      <c r="AE65" s="38" t="n">
        <v>30</v>
      </c>
      <c r="AF65" s="48" t="n">
        <v>100</v>
      </c>
      <c r="AG65" s="48" t="n">
        <v>100</v>
      </c>
      <c r="AH65" s="38" t="n">
        <v>10</v>
      </c>
      <c r="AI65" s="38" t="n">
        <v>2</v>
      </c>
      <c r="AJ65" s="49" t="n">
        <f aca="false">$S65*(1/X65)*(1/Z65)*(1/AB65)*(1/AD65)*(1/AF65)</f>
        <v>1776286.21619986</v>
      </c>
      <c r="AK65" s="49" t="n">
        <f aca="false">$S65*(1/Y65)*(1/AA65)*(1/AC65)*(1/AE65)*(1/AG65)</f>
        <v>59209540.5399952</v>
      </c>
      <c r="AL65" s="49" t="n">
        <f aca="false">AK65*0.000000000027</f>
        <v>0.00159865759457987</v>
      </c>
      <c r="AM65" s="79" t="str">
        <f aca="false">B65</f>
        <v>Pm-149</v>
      </c>
      <c r="AO65" s="50" t="n">
        <f aca="false">$S65</f>
        <v>1.77628621619986E+019</v>
      </c>
      <c r="AP65" s="50" t="n">
        <f aca="false">$S65*(1/X65)</f>
        <v>1.77628621619986E+019</v>
      </c>
      <c r="AQ65" s="50" t="n">
        <f aca="false">$S65*(1/X65)*(1/Z65)</f>
        <v>1.77628621619986E+017</v>
      </c>
      <c r="AR65" s="50" t="n">
        <f aca="false">$S65*(1/X65)*(1/Z65)*(1/AB65)</f>
        <v>17762862161.9986</v>
      </c>
      <c r="AS65" s="50" t="n">
        <f aca="false">$S65*(1/X65)*(1/Z65)*(1/AB65)*(1/AD65)</f>
        <v>177628621.619986</v>
      </c>
      <c r="AT65" s="51" t="n">
        <f aca="false">$S65*(1/X65)*(1/Z65)*(1/AB65)*(1/AD65)*(1/AF65)</f>
        <v>1776286.21619986</v>
      </c>
      <c r="AU65" s="50" t="n">
        <f aca="false">$S65*(1/X65)*(1/Z65)*(1/AB65)*(1/AD65)*(1/AF65)*(1/AH65)</f>
        <v>177628.621619986</v>
      </c>
      <c r="AX65" s="50" t="n">
        <f aca="false">AO65</f>
        <v>1.77628621619986E+019</v>
      </c>
      <c r="AY65" s="50" t="n">
        <f aca="false">AX65*(1/Y65)</f>
        <v>1.77628621619986E+019</v>
      </c>
      <c r="AZ65" s="50" t="n">
        <f aca="false">AY65*(1/AA65)</f>
        <v>3.55257243239971E+017</v>
      </c>
      <c r="BA65" s="50" t="n">
        <f aca="false">AZ65*(1/AC65)</f>
        <v>177628621619.986</v>
      </c>
      <c r="BB65" s="50" t="n">
        <f aca="false">BA65*(1/AE65)</f>
        <v>5920954053.99952</v>
      </c>
      <c r="BC65" s="50" t="n">
        <f aca="false">BB65*(1/AG65)</f>
        <v>59209540.5399952</v>
      </c>
      <c r="BD65" s="66" t="n">
        <f aca="false">BC65*(1/AI65)</f>
        <v>29604770.2699976</v>
      </c>
      <c r="BF65" s="36" t="s">
        <v>238</v>
      </c>
      <c r="BG65" s="0" t="n">
        <v>191088</v>
      </c>
      <c r="BH65" s="36" t="s">
        <v>239</v>
      </c>
      <c r="BI65" s="36" t="s">
        <v>234</v>
      </c>
    </row>
    <row r="66" customFormat="false" ht="15.75" hidden="false" customHeight="true" outlineLevel="0" collapsed="false">
      <c r="B66" s="22" t="s">
        <v>240</v>
      </c>
      <c r="C66" s="23" t="n">
        <v>39091</v>
      </c>
      <c r="D66" s="23" t="s">
        <v>241</v>
      </c>
      <c r="E66" s="37" t="n">
        <v>3.29343E-005</v>
      </c>
      <c r="F66" s="37" t="s">
        <v>242</v>
      </c>
      <c r="G66" s="37" t="s">
        <v>243</v>
      </c>
      <c r="H66" s="22" t="s">
        <v>244</v>
      </c>
      <c r="I66" s="80"/>
      <c r="J66" s="28" t="n">
        <v>58.8</v>
      </c>
      <c r="K66" s="28"/>
      <c r="L66" s="28"/>
      <c r="M66" s="29" t="n">
        <f aca="false">IF(ISNUMBER(BG66),BG66,"")</f>
        <v>5055264</v>
      </c>
      <c r="N66" s="29" t="n">
        <f aca="false">IF(ISNUMBER(M66),LN(2)/M66,0)</f>
        <v>1.37113943121456E-007</v>
      </c>
      <c r="O66" s="31" t="n">
        <f aca="false">10^-24</f>
        <v>1E-024</v>
      </c>
      <c r="P66" s="31" t="n">
        <f aca="false">PI()*$K$97^2*$K$98</f>
        <v>13978830.6714131</v>
      </c>
      <c r="Q66" s="32" t="n">
        <f aca="false">E66/O66</f>
        <v>3.29343E+019</v>
      </c>
      <c r="R66" s="32" t="n">
        <f aca="false">Q66*P66</f>
        <v>4.60383002981522E+026</v>
      </c>
      <c r="S66" s="43" t="n">
        <f aca="false">R66*N66</f>
        <v>6.31249288848936E+019</v>
      </c>
      <c r="T66" s="44" t="n">
        <f aca="false">S66*0.000000000027</f>
        <v>1704373079.89213</v>
      </c>
      <c r="U66" s="32" t="str">
        <f aca="false">D66</f>
        <v>Isot elem trans</v>
      </c>
      <c r="V66" s="46" t="n">
        <v>3E-005</v>
      </c>
      <c r="W66" s="46" t="n">
        <v>8E-005</v>
      </c>
      <c r="X66" s="38" t="n">
        <v>1</v>
      </c>
      <c r="Y66" s="38" t="n">
        <v>1</v>
      </c>
      <c r="Z66" s="38" t="n">
        <v>100</v>
      </c>
      <c r="AA66" s="38" t="n">
        <v>50</v>
      </c>
      <c r="AB66" s="38" t="n">
        <v>10000000</v>
      </c>
      <c r="AC66" s="38" t="n">
        <v>2000000</v>
      </c>
      <c r="AD66" s="38" t="n">
        <v>10</v>
      </c>
      <c r="AE66" s="38" t="n">
        <v>3</v>
      </c>
      <c r="AF66" s="38" t="n">
        <v>100</v>
      </c>
      <c r="AG66" s="38" t="n">
        <v>100</v>
      </c>
      <c r="AH66" s="38" t="n">
        <v>10</v>
      </c>
      <c r="AI66" s="38" t="n">
        <v>2</v>
      </c>
      <c r="AJ66" s="49" t="n">
        <f aca="false">$S66*(1/X66)*(1/Z66)*(1/AB66)*(1/AD66)*(1/AF66)</f>
        <v>63124928.8848936</v>
      </c>
      <c r="AK66" s="49" t="n">
        <f aca="false">$S66*(1/Y66)*(1/AA66)*(1/AC66)*(1/AE66)*(1/AG66)</f>
        <v>2104164296.16312</v>
      </c>
      <c r="AL66" s="49" t="n">
        <f aca="false">AK66*0.000000000027</f>
        <v>0.0568124359964043</v>
      </c>
      <c r="AM66" s="49" t="str">
        <f aca="false">B66</f>
        <v>Y-91</v>
      </c>
      <c r="AO66" s="50" t="n">
        <f aca="false">$S66</f>
        <v>6.31249288848936E+019</v>
      </c>
      <c r="AP66" s="50" t="n">
        <f aca="false">$S66*(1/X66)</f>
        <v>6.31249288848936E+019</v>
      </c>
      <c r="AQ66" s="50" t="n">
        <f aca="false">$S66*(1/X66)*(1/Z66)</f>
        <v>6.31249288848936E+017</v>
      </c>
      <c r="AR66" s="50" t="n">
        <f aca="false">$S66*(1/X66)*(1/Z66)*(1/AB66)</f>
        <v>63124928884.8936</v>
      </c>
      <c r="AS66" s="50" t="n">
        <f aca="false">$S66*(1/X66)*(1/Z66)*(1/AB66)*(1/AD66)</f>
        <v>6312492888.48936</v>
      </c>
      <c r="AT66" s="51" t="n">
        <f aca="false">$S66*(1/X66)*(1/Z66)*(1/AB66)*(1/AD66)*(1/AF66)</f>
        <v>63124928.8848936</v>
      </c>
      <c r="AU66" s="50" t="n">
        <f aca="false">$S66*(1/X66)*(1/Z66)*(1/AB66)*(1/AD66)*(1/AF66)*(1/AH66)</f>
        <v>6312492.88848936</v>
      </c>
      <c r="AX66" s="50" t="n">
        <f aca="false">AO66</f>
        <v>6.31249288848936E+019</v>
      </c>
      <c r="AY66" s="50" t="n">
        <f aca="false">AX66*(1/Y66)</f>
        <v>6.31249288848936E+019</v>
      </c>
      <c r="AZ66" s="50" t="n">
        <f aca="false">AY66*(1/AA66)</f>
        <v>1.26249857769787E+018</v>
      </c>
      <c r="BA66" s="50" t="n">
        <f aca="false">AZ66*(1/AC66)</f>
        <v>631249288848.936</v>
      </c>
      <c r="BB66" s="50" t="n">
        <f aca="false">BA66*(1/AE66)</f>
        <v>210416429616.312</v>
      </c>
      <c r="BC66" s="50" t="n">
        <f aca="false">BB66*(1/AG66)</f>
        <v>2104164296.16312</v>
      </c>
      <c r="BD66" s="66" t="n">
        <f aca="false">BC66*(1/AI66)</f>
        <v>1052082148.08156</v>
      </c>
      <c r="BF66" s="36" t="s">
        <v>242</v>
      </c>
      <c r="BG66" s="0" t="n">
        <v>5055264</v>
      </c>
    </row>
    <row r="67" customFormat="false" ht="15.75" hidden="true" customHeight="true" outlineLevel="0" collapsed="false">
      <c r="B67" s="81" t="s">
        <v>245</v>
      </c>
      <c r="C67" s="82" t="n">
        <v>60148</v>
      </c>
      <c r="D67" s="82"/>
      <c r="E67" s="83" t="n">
        <v>4.40869E-005</v>
      </c>
      <c r="F67" s="83"/>
      <c r="G67" s="83" t="s">
        <v>53</v>
      </c>
      <c r="H67" s="84" t="s">
        <v>53</v>
      </c>
      <c r="I67" s="63"/>
      <c r="J67" s="64"/>
      <c r="K67" s="65"/>
      <c r="L67" s="65"/>
      <c r="M67" s="85" t="str">
        <f aca="false">IF(ISNUMBER(BG67),BG67,"")</f>
        <v/>
      </c>
      <c r="N67" s="86" t="n">
        <f aca="false">IF(ISNUMBER(M67),LN(2)/M67,0)</f>
        <v>0</v>
      </c>
      <c r="O67" s="87" t="n">
        <f aca="false">10^-24</f>
        <v>1E-024</v>
      </c>
      <c r="P67" s="87" t="n">
        <f aca="false">PI()*$K$97^2*$K$98</f>
        <v>13978830.6714131</v>
      </c>
      <c r="Q67" s="33" t="n">
        <f aca="false">E67/O67</f>
        <v>4.40869E+019</v>
      </c>
      <c r="R67" s="33" t="n">
        <f aca="false">Q67*P67</f>
        <v>6.16283309927524E+026</v>
      </c>
      <c r="S67" s="33" t="n">
        <f aca="false">R67*N67</f>
        <v>0</v>
      </c>
      <c r="T67" s="54"/>
      <c r="U67" s="54"/>
      <c r="V67" s="56" t="n">
        <v>3E-005</v>
      </c>
      <c r="W67" s="56" t="n">
        <v>8E-005</v>
      </c>
      <c r="X67" s="55" t="n">
        <v>0.01</v>
      </c>
      <c r="Y67" s="34"/>
      <c r="Z67" s="34" t="n">
        <v>0.999</v>
      </c>
      <c r="AA67" s="34"/>
      <c r="AB67" s="34"/>
      <c r="AC67" s="34"/>
      <c r="AD67" s="34"/>
      <c r="AE67" s="34"/>
      <c r="AF67" s="34"/>
      <c r="AG67" s="34"/>
      <c r="AH67" s="55"/>
      <c r="AI67" s="55"/>
      <c r="AJ67" s="54" t="n">
        <f aca="false">S67*X67*(1-Z67)</f>
        <v>0</v>
      </c>
      <c r="AK67" s="35"/>
      <c r="AL67" s="35"/>
      <c r="AM67" s="35"/>
      <c r="BF67" s="36" t="s">
        <v>54</v>
      </c>
    </row>
    <row r="68" customFormat="false" ht="15.75" hidden="false" customHeight="true" outlineLevel="0" collapsed="false">
      <c r="B68" s="22" t="s">
        <v>246</v>
      </c>
      <c r="C68" s="23" t="n">
        <v>40093</v>
      </c>
      <c r="D68" s="23" t="s">
        <v>241</v>
      </c>
      <c r="E68" s="37" t="n">
        <v>0.000143526</v>
      </c>
      <c r="F68" s="37" t="s">
        <v>247</v>
      </c>
      <c r="G68" s="37" t="s">
        <v>248</v>
      </c>
      <c r="H68" s="41" t="s">
        <v>249</v>
      </c>
      <c r="I68" s="42" t="n">
        <v>1530000</v>
      </c>
      <c r="J68" s="27"/>
      <c r="K68" s="28"/>
      <c r="L68" s="28"/>
      <c r="M68" s="29" t="n">
        <f aca="false">IF(ISNUMBER(BG68),BG68,"")</f>
        <v>50806650988800</v>
      </c>
      <c r="N68" s="29" t="n">
        <f aca="false">IF(ISNUMBER(M68),LN(2)/M68,0)</f>
        <v>1.36428433496383E-014</v>
      </c>
      <c r="O68" s="31" t="n">
        <f aca="false">10^-24</f>
        <v>1E-024</v>
      </c>
      <c r="P68" s="31" t="n">
        <f aca="false">PI()*$K$97^2*$K$98</f>
        <v>13978830.6714131</v>
      </c>
      <c r="Q68" s="32" t="n">
        <f aca="false">E68/O68</f>
        <v>1.43526E+020</v>
      </c>
      <c r="R68" s="32" t="n">
        <f aca="false">Q68*P68</f>
        <v>2.00632565094524E+027</v>
      </c>
      <c r="S68" s="44" t="n">
        <f aca="false">R68*N68</f>
        <v>27371986564207.1</v>
      </c>
      <c r="T68" s="44" t="n">
        <f aca="false">S68*0.000000000027</f>
        <v>739.043637233591</v>
      </c>
      <c r="U68" s="32" t="str">
        <f aca="false">D68</f>
        <v>Isot elem trans</v>
      </c>
      <c r="V68" s="56" t="n">
        <v>3E-005</v>
      </c>
      <c r="W68" s="56" t="n">
        <v>8E-005</v>
      </c>
      <c r="X68" s="38" t="n">
        <v>1</v>
      </c>
      <c r="Y68" s="38" t="n">
        <v>1</v>
      </c>
      <c r="Z68" s="38" t="n">
        <v>100</v>
      </c>
      <c r="AA68" s="38" t="n">
        <v>50</v>
      </c>
      <c r="AB68" s="38" t="n">
        <v>10000000</v>
      </c>
      <c r="AC68" s="38" t="n">
        <v>2000000</v>
      </c>
      <c r="AD68" s="38" t="n">
        <v>10</v>
      </c>
      <c r="AE68" s="38" t="n">
        <v>3</v>
      </c>
      <c r="AF68" s="38" t="n">
        <v>100</v>
      </c>
      <c r="AG68" s="38" t="n">
        <v>100</v>
      </c>
      <c r="AH68" s="38" t="n">
        <v>10</v>
      </c>
      <c r="AI68" s="38" t="n">
        <v>2</v>
      </c>
      <c r="AJ68" s="49" t="n">
        <f aca="false">$S68*(1/X68)*(1/Z68)*(1/AB68)*(1/AD68)*(1/AF68)</f>
        <v>27.3719865642071</v>
      </c>
      <c r="AK68" s="49" t="n">
        <f aca="false">$S68*(1/Y68)*(1/AA68)*(1/AC68)*(1/AE68)*(1/AG68)</f>
        <v>912.399552140236</v>
      </c>
      <c r="AL68" s="49" t="n">
        <f aca="false">AK68*0.000000000027</f>
        <v>2.46347879077864E-008</v>
      </c>
      <c r="AM68" s="49" t="str">
        <f aca="false">B68</f>
        <v>Zr-93</v>
      </c>
      <c r="AO68" s="50" t="n">
        <f aca="false">$S68</f>
        <v>27371986564207.1</v>
      </c>
      <c r="AP68" s="50" t="n">
        <f aca="false">$S68*(1/X68)</f>
        <v>27371986564207.1</v>
      </c>
      <c r="AQ68" s="50" t="n">
        <f aca="false">$S68*(1/X68)*(1/Z68)</f>
        <v>273719865642.071</v>
      </c>
      <c r="AR68" s="50" t="n">
        <f aca="false">$S68*(1/X68)*(1/Z68)*(1/AB68)</f>
        <v>27371.9865642071</v>
      </c>
      <c r="AS68" s="50" t="n">
        <f aca="false">$S68*(1/X68)*(1/Z68)*(1/AB68)*(1/AD68)</f>
        <v>2737.19865642071</v>
      </c>
      <c r="AT68" s="51" t="n">
        <f aca="false">$S68*(1/X68)*(1/Z68)*(1/AB68)*(1/AD68)*(1/AF68)</f>
        <v>27.3719865642071</v>
      </c>
      <c r="AU68" s="50" t="n">
        <f aca="false">$S68*(1/X68)*(1/Z68)*(1/AB68)*(1/AD68)*(1/AF68)*(1/AH68)</f>
        <v>2.73719865642071</v>
      </c>
      <c r="AX68" s="50" t="n">
        <f aca="false">AO68</f>
        <v>27371986564207.1</v>
      </c>
      <c r="AY68" s="50" t="n">
        <f aca="false">AX68*(1/Y68)</f>
        <v>27371986564207.1</v>
      </c>
      <c r="AZ68" s="50" t="n">
        <f aca="false">AY68*(1/AA68)</f>
        <v>547439731284.142</v>
      </c>
      <c r="BA68" s="50" t="n">
        <f aca="false">AZ68*(1/AC68)</f>
        <v>273719.865642071</v>
      </c>
      <c r="BB68" s="50" t="n">
        <f aca="false">BA68*(1/AE68)</f>
        <v>91239.9552140236</v>
      </c>
      <c r="BC68" s="50" t="n">
        <f aca="false">BB68*(1/AG68)</f>
        <v>912.399552140236</v>
      </c>
      <c r="BD68" s="66" t="n">
        <f aca="false">BC68*(1/AI68)</f>
        <v>456.199776070118</v>
      </c>
      <c r="BF68" s="36" t="s">
        <v>250</v>
      </c>
      <c r="BG68" s="0" t="n">
        <v>50806650988800</v>
      </c>
    </row>
    <row r="69" customFormat="false" ht="15.75" hidden="false" customHeight="true" outlineLevel="0" collapsed="false">
      <c r="B69" s="22" t="s">
        <v>251</v>
      </c>
      <c r="C69" s="23" t="n">
        <v>40095</v>
      </c>
      <c r="D69" s="23" t="s">
        <v>241</v>
      </c>
      <c r="E69" s="37" t="n">
        <v>4.35054E-005</v>
      </c>
      <c r="F69" s="37" t="s">
        <v>252</v>
      </c>
      <c r="G69" s="37" t="s">
        <v>253</v>
      </c>
      <c r="H69" s="41" t="s">
        <v>253</v>
      </c>
      <c r="I69" s="42"/>
      <c r="J69" s="27" t="n">
        <v>64.02</v>
      </c>
      <c r="K69" s="28"/>
      <c r="L69" s="28"/>
      <c r="M69" s="29" t="n">
        <f aca="false">IF(ISNUMBER(BG69),BG69,"")</f>
        <v>5532364.8</v>
      </c>
      <c r="N69" s="29" t="n">
        <f aca="false">IF(ISNUMBER(M69),LN(2)/M69,0)</f>
        <v>1.25289492941598E-007</v>
      </c>
      <c r="O69" s="31" t="n">
        <f aca="false">10^-24</f>
        <v>1E-024</v>
      </c>
      <c r="P69" s="31" t="n">
        <f aca="false">PI()*$K$97^2*$K$98</f>
        <v>13978830.6714131</v>
      </c>
      <c r="Q69" s="32" t="n">
        <f aca="false">E69/O69</f>
        <v>4.35054E+019</v>
      </c>
      <c r="R69" s="32" t="n">
        <f aca="false">Q69*P69</f>
        <v>6.08154619892097E+026</v>
      </c>
      <c r="S69" s="44" t="n">
        <f aca="false">R69*N69</f>
        <v>7.61953839563712E+019</v>
      </c>
      <c r="T69" s="44" t="n">
        <f aca="false">S69*0.000000000027</f>
        <v>2057275366.82202</v>
      </c>
      <c r="U69" s="32" t="str">
        <f aca="false">D69</f>
        <v>Isot elem trans</v>
      </c>
      <c r="V69" s="56" t="n">
        <v>3E-005</v>
      </c>
      <c r="W69" s="56" t="n">
        <v>8E-005</v>
      </c>
      <c r="X69" s="38" t="n">
        <v>1</v>
      </c>
      <c r="Y69" s="38" t="n">
        <v>1</v>
      </c>
      <c r="Z69" s="38" t="n">
        <v>100</v>
      </c>
      <c r="AA69" s="38" t="n">
        <v>50</v>
      </c>
      <c r="AB69" s="38" t="n">
        <v>10000000</v>
      </c>
      <c r="AC69" s="38" t="n">
        <v>2000000</v>
      </c>
      <c r="AD69" s="38" t="n">
        <v>10</v>
      </c>
      <c r="AE69" s="38" t="n">
        <v>3</v>
      </c>
      <c r="AF69" s="38" t="n">
        <v>100</v>
      </c>
      <c r="AG69" s="38" t="n">
        <v>100</v>
      </c>
      <c r="AH69" s="38" t="n">
        <v>10</v>
      </c>
      <c r="AI69" s="38" t="n">
        <v>2</v>
      </c>
      <c r="AJ69" s="49" t="n">
        <f aca="false">$S69*(1/X69)*(1/Z69)*(1/AB69)*(1/AD69)*(1/AF69)</f>
        <v>76195383.9563712</v>
      </c>
      <c r="AK69" s="49" t="n">
        <f aca="false">$S69*(1/Y69)*(1/AA69)*(1/AC69)*(1/AE69)*(1/AG69)</f>
        <v>2539846131.87904</v>
      </c>
      <c r="AL69" s="49" t="n">
        <f aca="false">AK69*0.000000000027</f>
        <v>0.068575845560734</v>
      </c>
      <c r="AM69" s="49" t="str">
        <f aca="false">B69</f>
        <v>Zr-95</v>
      </c>
      <c r="AO69" s="50" t="n">
        <f aca="false">$S69</f>
        <v>7.61953839563712E+019</v>
      </c>
      <c r="AP69" s="50" t="n">
        <f aca="false">$S69*(1/X69)</f>
        <v>7.61953839563712E+019</v>
      </c>
      <c r="AQ69" s="50" t="n">
        <f aca="false">$S69*(1/X69)*(1/Z69)</f>
        <v>7.61953839563712E+017</v>
      </c>
      <c r="AR69" s="50" t="n">
        <f aca="false">$S69*(1/X69)*(1/Z69)*(1/AB69)</f>
        <v>76195383956.3712</v>
      </c>
      <c r="AS69" s="50" t="n">
        <f aca="false">$S69*(1/X69)*(1/Z69)*(1/AB69)*(1/AD69)</f>
        <v>7619538395.63712</v>
      </c>
      <c r="AT69" s="51" t="n">
        <f aca="false">$S69*(1/X69)*(1/Z69)*(1/AB69)*(1/AD69)*(1/AF69)</f>
        <v>76195383.9563712</v>
      </c>
      <c r="AU69" s="50" t="n">
        <f aca="false">$S69*(1/X69)*(1/Z69)*(1/AB69)*(1/AD69)*(1/AF69)*(1/AH69)</f>
        <v>7619538.39563712</v>
      </c>
      <c r="AX69" s="50" t="n">
        <f aca="false">AO69</f>
        <v>7.61953839563712E+019</v>
      </c>
      <c r="AY69" s="50" t="n">
        <f aca="false">AX69*(1/Y69)</f>
        <v>7.61953839563712E+019</v>
      </c>
      <c r="AZ69" s="50" t="n">
        <f aca="false">AY69*(1/AA69)</f>
        <v>1.52390767912742E+018</v>
      </c>
      <c r="BA69" s="50" t="n">
        <f aca="false">AZ69*(1/AC69)</f>
        <v>761953839563.712</v>
      </c>
      <c r="BB69" s="50" t="n">
        <f aca="false">BA69*(1/AE69)</f>
        <v>253984613187.904</v>
      </c>
      <c r="BC69" s="50" t="n">
        <f aca="false">BB69*(1/AG69)</f>
        <v>2539846131.87904</v>
      </c>
      <c r="BD69" s="66" t="n">
        <f aca="false">BC69*(1/AI69)</f>
        <v>1269923065.93952</v>
      </c>
      <c r="BF69" s="36" t="s">
        <v>252</v>
      </c>
      <c r="BG69" s="0" t="n">
        <v>5532364.8</v>
      </c>
    </row>
    <row r="70" customFormat="false" ht="15.75" hidden="false" customHeight="true" outlineLevel="0" collapsed="false">
      <c r="B70" s="22" t="s">
        <v>254</v>
      </c>
      <c r="C70" s="23" t="n">
        <v>41095</v>
      </c>
      <c r="D70" s="23" t="s">
        <v>241</v>
      </c>
      <c r="E70" s="37" t="n">
        <v>2.02169E-005</v>
      </c>
      <c r="F70" s="37" t="s">
        <v>255</v>
      </c>
      <c r="G70" s="37" t="s">
        <v>256</v>
      </c>
      <c r="H70" s="22" t="s">
        <v>257</v>
      </c>
      <c r="I70" s="26"/>
      <c r="J70" s="27" t="n">
        <v>35</v>
      </c>
      <c r="K70" s="28"/>
      <c r="L70" s="28"/>
      <c r="M70" s="29" t="n">
        <f aca="false">IF(ISNUMBER(BG70),BG70,"")</f>
        <v>3023222.4</v>
      </c>
      <c r="N70" s="29" t="n">
        <f aca="false">IF(ISNUMBER(M70),LN(2)/M70,0)</f>
        <v>2.29274293733715E-007</v>
      </c>
      <c r="O70" s="31" t="n">
        <f aca="false">10^-24</f>
        <v>1E-024</v>
      </c>
      <c r="P70" s="31" t="n">
        <f aca="false">PI()*$K$97^2*$K$98</f>
        <v>13978830.6714131</v>
      </c>
      <c r="Q70" s="32" t="n">
        <f aca="false">E70/O70</f>
        <v>2.02169E+019</v>
      </c>
      <c r="R70" s="32" t="n">
        <f aca="false">Q70*P70</f>
        <v>2.82608621800892E+026</v>
      </c>
      <c r="S70" s="44" t="n">
        <f aca="false">R70*N70</f>
        <v>6.4794892166458E+019</v>
      </c>
      <c r="T70" s="44" t="n">
        <f aca="false">S70*0.000000000027</f>
        <v>1749462088.49437</v>
      </c>
      <c r="U70" s="32" t="str">
        <f aca="false">D70</f>
        <v>Isot elem trans</v>
      </c>
      <c r="V70" s="46" t="n">
        <v>3E-005</v>
      </c>
      <c r="W70" s="46" t="n">
        <v>8E-005</v>
      </c>
      <c r="X70" s="38" t="n">
        <v>1</v>
      </c>
      <c r="Y70" s="38" t="n">
        <v>1</v>
      </c>
      <c r="Z70" s="38" t="n">
        <v>100</v>
      </c>
      <c r="AA70" s="38" t="n">
        <v>50</v>
      </c>
      <c r="AB70" s="38" t="n">
        <v>10000000</v>
      </c>
      <c r="AC70" s="38" t="n">
        <v>2000000</v>
      </c>
      <c r="AD70" s="38" t="n">
        <v>10</v>
      </c>
      <c r="AE70" s="38" t="n">
        <v>3</v>
      </c>
      <c r="AF70" s="38" t="n">
        <v>100</v>
      </c>
      <c r="AG70" s="38" t="n">
        <v>100</v>
      </c>
      <c r="AH70" s="38" t="n">
        <v>10</v>
      </c>
      <c r="AI70" s="38" t="n">
        <v>2</v>
      </c>
      <c r="AJ70" s="49" t="n">
        <f aca="false">$S70*(1/X70)*(1/Z70)*(1/AB70)*(1/AD70)*(1/AF70)</f>
        <v>64794892.166458</v>
      </c>
      <c r="AK70" s="49" t="n">
        <f aca="false">$S70*(1/Y70)*(1/AA70)*(1/AC70)*(1/AE70)*(1/AG70)</f>
        <v>2159829738.88193</v>
      </c>
      <c r="AL70" s="49" t="n">
        <f aca="false">AK70*0.000000000027</f>
        <v>0.0583154029498122</v>
      </c>
      <c r="AM70" s="49" t="str">
        <f aca="false">B70</f>
        <v>Nb-95</v>
      </c>
      <c r="AO70" s="50" t="n">
        <f aca="false">$S70</f>
        <v>6.4794892166458E+019</v>
      </c>
      <c r="AP70" s="50" t="n">
        <f aca="false">$S70*(1/X70)</f>
        <v>6.4794892166458E+019</v>
      </c>
      <c r="AQ70" s="50" t="n">
        <f aca="false">$S70*(1/X70)*(1/Z70)</f>
        <v>6.4794892166458E+017</v>
      </c>
      <c r="AR70" s="50" t="n">
        <f aca="false">$S70*(1/X70)*(1/Z70)*(1/AB70)</f>
        <v>64794892166.458</v>
      </c>
      <c r="AS70" s="50" t="n">
        <f aca="false">$S70*(1/X70)*(1/Z70)*(1/AB70)*(1/AD70)</f>
        <v>6479489216.6458</v>
      </c>
      <c r="AT70" s="51" t="n">
        <f aca="false">$S70*(1/X70)*(1/Z70)*(1/AB70)*(1/AD70)*(1/AF70)</f>
        <v>64794892.166458</v>
      </c>
      <c r="AU70" s="50" t="n">
        <f aca="false">$S70*(1/X70)*(1/Z70)*(1/AB70)*(1/AD70)*(1/AF70)*(1/AH70)</f>
        <v>6479489.2166458</v>
      </c>
      <c r="AX70" s="50" t="n">
        <f aca="false">AO70</f>
        <v>6.4794892166458E+019</v>
      </c>
      <c r="AY70" s="50" t="n">
        <f aca="false">AX70*(1/Y70)</f>
        <v>6.4794892166458E+019</v>
      </c>
      <c r="AZ70" s="50" t="n">
        <f aca="false">AY70*(1/AA70)</f>
        <v>1.29589784332916E+018</v>
      </c>
      <c r="BA70" s="50" t="n">
        <f aca="false">AZ70*(1/AC70)</f>
        <v>647948921664.58</v>
      </c>
      <c r="BB70" s="50" t="n">
        <f aca="false">BA70*(1/AE70)</f>
        <v>215982973888.193</v>
      </c>
      <c r="BC70" s="50" t="n">
        <f aca="false">BB70*(1/AG70)</f>
        <v>2159829738.88193</v>
      </c>
      <c r="BD70" s="66" t="n">
        <f aca="false">BC70*(1/AI70)</f>
        <v>1079914869.44097</v>
      </c>
      <c r="BF70" s="36" t="s">
        <v>258</v>
      </c>
      <c r="BG70" s="0" t="n">
        <v>3023222.4</v>
      </c>
    </row>
    <row r="71" customFormat="false" ht="15.75" hidden="false" customHeight="true" outlineLevel="0" collapsed="false">
      <c r="B71" s="88" t="s">
        <v>259</v>
      </c>
      <c r="C71" s="23" t="n">
        <v>58140</v>
      </c>
      <c r="D71" s="23" t="s">
        <v>229</v>
      </c>
      <c r="E71" s="37" t="n">
        <v>0.000141465</v>
      </c>
      <c r="F71" s="37"/>
      <c r="G71" s="37" t="s">
        <v>260</v>
      </c>
      <c r="H71" s="41" t="s">
        <v>261</v>
      </c>
      <c r="I71" s="59"/>
      <c r="J71" s="27"/>
      <c r="K71" s="28"/>
      <c r="L71" s="28" t="n">
        <v>1.1</v>
      </c>
      <c r="M71" s="29" t="str">
        <f aca="false">IF(ISNUMBER(BG71),BG71,"")</f>
        <v/>
      </c>
      <c r="N71" s="29" t="n">
        <f aca="false">IF(ISNUMBER(M71),LN(2)/M71,0)</f>
        <v>0</v>
      </c>
      <c r="O71" s="31" t="n">
        <f aca="false">10^-24</f>
        <v>1E-024</v>
      </c>
      <c r="P71" s="31" t="n">
        <f aca="false">PI()*$K$97^2*$K$98</f>
        <v>13978830.6714131</v>
      </c>
      <c r="Q71" s="32" t="n">
        <f aca="false">E71/O71</f>
        <v>1.41465E+020</v>
      </c>
      <c r="R71" s="32" t="n">
        <f aca="false">Q71*P71</f>
        <v>1.97751528093146E+027</v>
      </c>
      <c r="S71" s="44" t="n">
        <f aca="false">R71*N71</f>
        <v>0</v>
      </c>
      <c r="T71" s="44" t="n">
        <f aca="false">S71*0.000000000027</f>
        <v>0</v>
      </c>
      <c r="U71" s="32" t="str">
        <f aca="false">D71</f>
        <v>Isot tierras raras</v>
      </c>
      <c r="V71" s="46" t="n">
        <v>3E-005</v>
      </c>
      <c r="W71" s="46" t="n">
        <v>8E-005</v>
      </c>
      <c r="X71" s="38" t="n">
        <v>1</v>
      </c>
      <c r="Y71" s="38" t="n">
        <v>1</v>
      </c>
      <c r="Z71" s="38" t="n">
        <v>100</v>
      </c>
      <c r="AA71" s="38" t="n">
        <v>50</v>
      </c>
      <c r="AB71" s="38" t="n">
        <v>10000000</v>
      </c>
      <c r="AC71" s="38" t="n">
        <v>2000000</v>
      </c>
      <c r="AD71" s="38" t="n">
        <v>100</v>
      </c>
      <c r="AE71" s="38" t="n">
        <v>30</v>
      </c>
      <c r="AF71" s="38" t="n">
        <v>100</v>
      </c>
      <c r="AG71" s="38" t="n">
        <v>100</v>
      </c>
      <c r="AH71" s="38" t="n">
        <v>10</v>
      </c>
      <c r="AI71" s="38" t="n">
        <v>2</v>
      </c>
      <c r="AJ71" s="49" t="n">
        <f aca="false">$S71*(1/X71)*(1/Z71)*(1/AB71)*(1/AD71)*(1/AF71)</f>
        <v>0</v>
      </c>
      <c r="AK71" s="49" t="n">
        <f aca="false">$S71*(1/Y71)*(1/AA71)*(1/AC71)*(1/AE71)*(1/AG71)</f>
        <v>0</v>
      </c>
      <c r="AL71" s="49" t="n">
        <f aca="false">AK71*0.000000000027</f>
        <v>0</v>
      </c>
      <c r="AM71" s="49" t="str">
        <f aca="false">B71</f>
        <v>Ce-140</v>
      </c>
      <c r="AO71" s="50" t="n">
        <f aca="false">$S71</f>
        <v>0</v>
      </c>
      <c r="AP71" s="50" t="n">
        <f aca="false">$S71*(1/X71)</f>
        <v>0</v>
      </c>
      <c r="AQ71" s="50" t="n">
        <f aca="false">$S71*(1/X71)*(1/Z71)</f>
        <v>0</v>
      </c>
      <c r="AR71" s="50" t="n">
        <f aca="false">$S71*(1/X71)*(1/Z71)*(1/AB71)</f>
        <v>0</v>
      </c>
      <c r="AS71" s="50" t="n">
        <f aca="false">$S71*(1/X71)*(1/Z71)*(1/AB71)*(1/AD71)</f>
        <v>0</v>
      </c>
      <c r="AT71" s="51" t="n">
        <f aca="false">$S71*(1/X71)*(1/Z71)*(1/AB71)*(1/AD71)*(1/AF71)</f>
        <v>0</v>
      </c>
      <c r="AU71" s="50" t="n">
        <f aca="false">$S71*(1/X71)*(1/Z71)*(1/AB71)*(1/AD71)*(1/AF71)*(1/AH71)</f>
        <v>0</v>
      </c>
      <c r="AX71" s="50" t="n">
        <f aca="false">AO71</f>
        <v>0</v>
      </c>
      <c r="AY71" s="50" t="n">
        <f aca="false">AX71*(1/Y71)</f>
        <v>0</v>
      </c>
      <c r="AZ71" s="50" t="n">
        <f aca="false">AY71*(1/AA71)</f>
        <v>0</v>
      </c>
      <c r="BA71" s="50" t="n">
        <f aca="false">AZ71*(1/AC71)</f>
        <v>0</v>
      </c>
      <c r="BB71" s="50" t="n">
        <f aca="false">BA71*(1/AE71)</f>
        <v>0</v>
      </c>
      <c r="BC71" s="50" t="n">
        <f aca="false">BB71*(1/AG71)</f>
        <v>0</v>
      </c>
      <c r="BD71" s="66" t="n">
        <f aca="false">BC71*(1/AI71)</f>
        <v>0</v>
      </c>
      <c r="BF71" s="36" t="s">
        <v>54</v>
      </c>
      <c r="BH71" s="36" t="s">
        <v>262</v>
      </c>
    </row>
    <row r="72" customFormat="false" ht="15.75" hidden="false" customHeight="true" outlineLevel="0" collapsed="false">
      <c r="B72" s="88" t="s">
        <v>263</v>
      </c>
      <c r="C72" s="23" t="n">
        <v>58141</v>
      </c>
      <c r="D72" s="23" t="s">
        <v>229</v>
      </c>
      <c r="E72" s="37" t="n">
        <v>2.33596E-005</v>
      </c>
      <c r="F72" s="37"/>
      <c r="G72" s="37" t="s">
        <v>264</v>
      </c>
      <c r="H72" s="41" t="s">
        <v>265</v>
      </c>
      <c r="I72" s="59"/>
      <c r="J72" s="27"/>
      <c r="K72" s="28"/>
      <c r="L72" s="28" t="n">
        <v>9.9</v>
      </c>
      <c r="M72" s="29" t="n">
        <f aca="false">IF(ISNUMBER(BG72),BG72,"")</f>
        <v>2808432</v>
      </c>
      <c r="N72" s="29" t="n">
        <f aca="false">IF(ISNUMBER(M72),LN(2)/M72,0)</f>
        <v>2.46809315860219E-007</v>
      </c>
      <c r="O72" s="31" t="n">
        <f aca="false">10^-24</f>
        <v>1E-024</v>
      </c>
      <c r="P72" s="31" t="n">
        <f aca="false">PI()*$K$97^2*$K$98</f>
        <v>13978830.6714131</v>
      </c>
      <c r="Q72" s="32" t="n">
        <f aca="false">E72/O72</f>
        <v>2.33596E+019</v>
      </c>
      <c r="R72" s="32" t="n">
        <f aca="false">Q72*P72</f>
        <v>3.26539892951942E+026</v>
      </c>
      <c r="S72" s="44" t="n">
        <f aca="false">R72*N72</f>
        <v>8.05930875805379E+019</v>
      </c>
      <c r="T72" s="44" t="n">
        <f aca="false">S72*0.000000000027</f>
        <v>2176013364.67452</v>
      </c>
      <c r="U72" s="32" t="str">
        <f aca="false">D72</f>
        <v>Isot tierras raras</v>
      </c>
      <c r="V72" s="56" t="n">
        <v>3E-005</v>
      </c>
      <c r="W72" s="56" t="n">
        <v>8E-005</v>
      </c>
      <c r="X72" s="38" t="n">
        <v>1</v>
      </c>
      <c r="Y72" s="38" t="n">
        <v>1</v>
      </c>
      <c r="Z72" s="38" t="n">
        <v>100</v>
      </c>
      <c r="AA72" s="38" t="n">
        <v>50</v>
      </c>
      <c r="AB72" s="38" t="n">
        <v>10000000</v>
      </c>
      <c r="AC72" s="38" t="n">
        <v>2000000</v>
      </c>
      <c r="AD72" s="38" t="n">
        <v>100</v>
      </c>
      <c r="AE72" s="38" t="n">
        <v>30</v>
      </c>
      <c r="AF72" s="38" t="n">
        <v>100</v>
      </c>
      <c r="AG72" s="38" t="n">
        <v>100</v>
      </c>
      <c r="AH72" s="38" t="n">
        <v>10</v>
      </c>
      <c r="AI72" s="38" t="n">
        <v>2</v>
      </c>
      <c r="AJ72" s="49" t="n">
        <f aca="false">$S72*(1/X72)*(1/Z72)*(1/AB72)*(1/AD72)*(1/AF72)</f>
        <v>8059308.75805379</v>
      </c>
      <c r="AK72" s="49" t="n">
        <f aca="false">$S72*(1/Y72)*(1/AA72)*(1/AC72)*(1/AE72)*(1/AG72)</f>
        <v>268643625.26846</v>
      </c>
      <c r="AL72" s="49" t="n">
        <f aca="false">AK72*0.000000000027</f>
        <v>0.00725337788224841</v>
      </c>
      <c r="AM72" s="49" t="str">
        <f aca="false">B72</f>
        <v>Ce-141</v>
      </c>
      <c r="AO72" s="50" t="n">
        <f aca="false">$S72</f>
        <v>8.05930875805379E+019</v>
      </c>
      <c r="AP72" s="50" t="n">
        <f aca="false">$S72*(1/X72)</f>
        <v>8.05930875805379E+019</v>
      </c>
      <c r="AQ72" s="50" t="n">
        <f aca="false">$S72*(1/X72)*(1/Z72)</f>
        <v>8.05930875805379E+017</v>
      </c>
      <c r="AR72" s="50" t="n">
        <f aca="false">$S72*(1/X72)*(1/Z72)*(1/AB72)</f>
        <v>80593087580.5379</v>
      </c>
      <c r="AS72" s="50" t="n">
        <f aca="false">$S72*(1/X72)*(1/Z72)*(1/AB72)*(1/AD72)</f>
        <v>805930875.805379</v>
      </c>
      <c r="AT72" s="51" t="n">
        <f aca="false">$S72*(1/X72)*(1/Z72)*(1/AB72)*(1/AD72)*(1/AF72)</f>
        <v>8059308.75805379</v>
      </c>
      <c r="AU72" s="50" t="n">
        <f aca="false">$S72*(1/X72)*(1/Z72)*(1/AB72)*(1/AD72)*(1/AF72)*(1/AH72)</f>
        <v>805930.875805379</v>
      </c>
      <c r="AX72" s="50" t="n">
        <f aca="false">AO72</f>
        <v>8.05930875805379E+019</v>
      </c>
      <c r="AY72" s="50" t="n">
        <f aca="false">AX72*(1/Y72)</f>
        <v>8.05930875805379E+019</v>
      </c>
      <c r="AZ72" s="50" t="n">
        <f aca="false">AY72*(1/AA72)</f>
        <v>1.61186175161076E+018</v>
      </c>
      <c r="BA72" s="50" t="n">
        <f aca="false">AZ72*(1/AC72)</f>
        <v>805930875805.379</v>
      </c>
      <c r="BB72" s="50" t="n">
        <f aca="false">BA72*(1/AE72)</f>
        <v>26864362526.846</v>
      </c>
      <c r="BC72" s="50" t="n">
        <f aca="false">BB72*(1/AG72)</f>
        <v>268643625.26846</v>
      </c>
      <c r="BD72" s="66" t="n">
        <f aca="false">BC72*(1/AI72)</f>
        <v>134321812.63423</v>
      </c>
      <c r="BF72" s="36" t="s">
        <v>266</v>
      </c>
      <c r="BG72" s="0" t="n">
        <v>2808432</v>
      </c>
      <c r="BH72" s="36" t="s">
        <v>267</v>
      </c>
    </row>
    <row r="73" customFormat="false" ht="15.75" hidden="false" customHeight="true" outlineLevel="0" collapsed="false">
      <c r="B73" s="88" t="s">
        <v>268</v>
      </c>
      <c r="C73" s="23" t="n">
        <v>58142</v>
      </c>
      <c r="D73" s="23" t="s">
        <v>229</v>
      </c>
      <c r="E73" s="37" t="n">
        <v>0.000144249</v>
      </c>
      <c r="F73" s="37"/>
      <c r="G73" s="37" t="s">
        <v>53</v>
      </c>
      <c r="H73" s="41" t="s">
        <v>269</v>
      </c>
      <c r="I73" s="59"/>
      <c r="J73" s="27"/>
      <c r="K73" s="28"/>
      <c r="L73" s="28" t="n">
        <v>1</v>
      </c>
      <c r="M73" s="29" t="str">
        <f aca="false">IF(ISNUMBER(BG73),BG73,"")</f>
        <v/>
      </c>
      <c r="N73" s="29" t="n">
        <f aca="false">IF(ISNUMBER(M73),LN(2)/M73,0)</f>
        <v>0</v>
      </c>
      <c r="O73" s="31" t="n">
        <f aca="false">10^-24</f>
        <v>1E-024</v>
      </c>
      <c r="P73" s="31" t="n">
        <f aca="false">PI()*$K$97^2*$K$98</f>
        <v>13978830.6714131</v>
      </c>
      <c r="Q73" s="32" t="n">
        <f aca="false">E73/O73</f>
        <v>1.44249E+020</v>
      </c>
      <c r="R73" s="32" t="n">
        <f aca="false">Q73*P73</f>
        <v>2.01643234552067E+027</v>
      </c>
      <c r="S73" s="44" t="n">
        <f aca="false">R73*N73</f>
        <v>0</v>
      </c>
      <c r="T73" s="44" t="n">
        <f aca="false">S73*0.000000000027</f>
        <v>0</v>
      </c>
      <c r="U73" s="32" t="str">
        <f aca="false">D73</f>
        <v>Isot tierras raras</v>
      </c>
      <c r="V73" s="46" t="n">
        <v>3E-005</v>
      </c>
      <c r="W73" s="46" t="n">
        <v>8E-005</v>
      </c>
      <c r="X73" s="38" t="n">
        <v>1</v>
      </c>
      <c r="Y73" s="38" t="n">
        <v>1</v>
      </c>
      <c r="Z73" s="38" t="n">
        <v>100</v>
      </c>
      <c r="AA73" s="38" t="n">
        <v>50</v>
      </c>
      <c r="AB73" s="38" t="n">
        <v>10000000</v>
      </c>
      <c r="AC73" s="38" t="n">
        <v>2000000</v>
      </c>
      <c r="AD73" s="38" t="n">
        <v>100</v>
      </c>
      <c r="AE73" s="38" t="n">
        <v>30</v>
      </c>
      <c r="AF73" s="38" t="n">
        <v>100</v>
      </c>
      <c r="AG73" s="38" t="n">
        <v>100</v>
      </c>
      <c r="AH73" s="38" t="n">
        <v>10</v>
      </c>
      <c r="AI73" s="38" t="n">
        <v>2</v>
      </c>
      <c r="AJ73" s="49" t="n">
        <f aca="false">$S73*(1/X73)*(1/Z73)*(1/AB73)*(1/AD73)*(1/AF73)</f>
        <v>0</v>
      </c>
      <c r="AK73" s="49" t="n">
        <f aca="false">$S73*(1/Y73)*(1/AA73)*(1/AC73)*(1/AE73)*(1/AG73)</f>
        <v>0</v>
      </c>
      <c r="AL73" s="49" t="n">
        <f aca="false">AK73*0.000000000027</f>
        <v>0</v>
      </c>
      <c r="AM73" s="49" t="str">
        <f aca="false">B73</f>
        <v>Ce-142</v>
      </c>
      <c r="AO73" s="50" t="n">
        <f aca="false">$S73</f>
        <v>0</v>
      </c>
      <c r="AP73" s="50" t="n">
        <f aca="false">$S73*(1/X73)</f>
        <v>0</v>
      </c>
      <c r="AQ73" s="50" t="n">
        <f aca="false">$S73*(1/X73)*(1/Z73)</f>
        <v>0</v>
      </c>
      <c r="AR73" s="50" t="n">
        <f aca="false">$S73*(1/X73)*(1/Z73)*(1/AB73)</f>
        <v>0</v>
      </c>
      <c r="AS73" s="50" t="n">
        <f aca="false">$S73*(1/X73)*(1/Z73)*(1/AB73)*(1/AD73)</f>
        <v>0</v>
      </c>
      <c r="AT73" s="51" t="n">
        <f aca="false">$S73*(1/X73)*(1/Z73)*(1/AB73)*(1/AD73)*(1/AF73)</f>
        <v>0</v>
      </c>
      <c r="AU73" s="50" t="n">
        <f aca="false">$S73*(1/X73)*(1/Z73)*(1/AB73)*(1/AD73)*(1/AF73)*(1/AH73)</f>
        <v>0</v>
      </c>
      <c r="AX73" s="50" t="n">
        <f aca="false">AO73</f>
        <v>0</v>
      </c>
      <c r="AY73" s="50" t="n">
        <f aca="false">AX73*(1/Y73)</f>
        <v>0</v>
      </c>
      <c r="AZ73" s="50" t="n">
        <f aca="false">AY73*(1/AA73)</f>
        <v>0</v>
      </c>
      <c r="BA73" s="50" t="n">
        <f aca="false">AZ73*(1/AC73)</f>
        <v>0</v>
      </c>
      <c r="BB73" s="50" t="n">
        <f aca="false">BA73*(1/AE73)</f>
        <v>0</v>
      </c>
      <c r="BC73" s="50" t="n">
        <f aca="false">BB73*(1/AG73)</f>
        <v>0</v>
      </c>
      <c r="BD73" s="66" t="n">
        <f aca="false">BC73*(1/AI73)</f>
        <v>0</v>
      </c>
      <c r="BF73" s="36" t="s">
        <v>54</v>
      </c>
      <c r="BH73" s="36" t="s">
        <v>270</v>
      </c>
    </row>
    <row r="74" customFormat="false" ht="15.75" hidden="false" customHeight="true" outlineLevel="0" collapsed="false">
      <c r="B74" s="88" t="s">
        <v>271</v>
      </c>
      <c r="C74" s="23" t="n">
        <v>58144</v>
      </c>
      <c r="D74" s="23" t="s">
        <v>229</v>
      </c>
      <c r="E74" s="37" t="n">
        <v>8.66279E-005</v>
      </c>
      <c r="F74" s="37"/>
      <c r="G74" s="37" t="s">
        <v>272</v>
      </c>
      <c r="H74" s="41" t="s">
        <v>273</v>
      </c>
      <c r="I74" s="59"/>
      <c r="J74" s="27"/>
      <c r="K74" s="28" t="n">
        <v>1.5</v>
      </c>
      <c r="L74" s="28"/>
      <c r="M74" s="29" t="n">
        <f aca="false">IF(ISNUMBER(BG74),BG74,"")</f>
        <v>24614150.4</v>
      </c>
      <c r="N74" s="29" t="n">
        <f aca="false">IF(ISNUMBER(M74),LN(2)/M74,0)</f>
        <v>2.8160516178529E-008</v>
      </c>
      <c r="O74" s="31" t="n">
        <f aca="false">10^-24</f>
        <v>1E-024</v>
      </c>
      <c r="P74" s="31" t="n">
        <f aca="false">PI()*$K$97^2*$K$98</f>
        <v>13978830.6714131</v>
      </c>
      <c r="Q74" s="32" t="n">
        <f aca="false">E74/O74</f>
        <v>8.66279E+019</v>
      </c>
      <c r="R74" s="32" t="n">
        <f aca="false">Q74*P74</f>
        <v>1.21095674552011E+027</v>
      </c>
      <c r="S74" s="44" t="n">
        <f aca="false">R74*N74</f>
        <v>3.41011670237179E+019</v>
      </c>
      <c r="T74" s="44" t="n">
        <f aca="false">S74*0.000000000027</f>
        <v>920731509.640383</v>
      </c>
      <c r="U74" s="32" t="str">
        <f aca="false">D74</f>
        <v>Isot tierras raras</v>
      </c>
      <c r="V74" s="46" t="n">
        <v>3E-005</v>
      </c>
      <c r="W74" s="46" t="n">
        <v>8E-005</v>
      </c>
      <c r="X74" s="38" t="n">
        <v>1</v>
      </c>
      <c r="Y74" s="38" t="n">
        <v>1</v>
      </c>
      <c r="Z74" s="38" t="n">
        <v>100</v>
      </c>
      <c r="AA74" s="38" t="n">
        <v>50</v>
      </c>
      <c r="AB74" s="38" t="n">
        <v>10000000</v>
      </c>
      <c r="AC74" s="38" t="n">
        <v>2000000</v>
      </c>
      <c r="AD74" s="38" t="n">
        <v>100</v>
      </c>
      <c r="AE74" s="38" t="n">
        <v>30</v>
      </c>
      <c r="AF74" s="38" t="n">
        <v>100</v>
      </c>
      <c r="AG74" s="38" t="n">
        <v>100</v>
      </c>
      <c r="AH74" s="38" t="n">
        <v>10</v>
      </c>
      <c r="AI74" s="38" t="n">
        <v>2</v>
      </c>
      <c r="AJ74" s="49" t="n">
        <f aca="false">$S74*(1/X74)*(1/Z74)*(1/AB74)*(1/AD74)*(1/AF74)</f>
        <v>3410116.70237179</v>
      </c>
      <c r="AK74" s="49" t="n">
        <f aca="false">$S74*(1/Y74)*(1/AA74)*(1/AC74)*(1/AE74)*(1/AG74)</f>
        <v>113670556.745726</v>
      </c>
      <c r="AL74" s="49" t="n">
        <f aca="false">AK74*0.000000000027</f>
        <v>0.00306910503213461</v>
      </c>
      <c r="AM74" s="49" t="str">
        <f aca="false">B74</f>
        <v>Ce-144</v>
      </c>
      <c r="AO74" s="50" t="n">
        <f aca="false">$S74</f>
        <v>3.41011670237179E+019</v>
      </c>
      <c r="AP74" s="50" t="n">
        <f aca="false">$S74*(1/X74)</f>
        <v>3.41011670237179E+019</v>
      </c>
      <c r="AQ74" s="50" t="n">
        <f aca="false">$S74*(1/X74)*(1/Z74)</f>
        <v>3.41011670237179E+017</v>
      </c>
      <c r="AR74" s="50" t="n">
        <f aca="false">$S74*(1/X74)*(1/Z74)*(1/AB74)</f>
        <v>34101167023.7179</v>
      </c>
      <c r="AS74" s="50" t="n">
        <f aca="false">$S74*(1/X74)*(1/Z74)*(1/AB74)*(1/AD74)</f>
        <v>341011670.237179</v>
      </c>
      <c r="AT74" s="51" t="n">
        <f aca="false">$S74*(1/X74)*(1/Z74)*(1/AB74)*(1/AD74)*(1/AF74)</f>
        <v>3410116.70237179</v>
      </c>
      <c r="AU74" s="50" t="n">
        <f aca="false">$S74*(1/X74)*(1/Z74)*(1/AB74)*(1/AD74)*(1/AF74)*(1/AH74)</f>
        <v>341011.670237179</v>
      </c>
      <c r="AX74" s="50" t="n">
        <f aca="false">AO74</f>
        <v>3.41011670237179E+019</v>
      </c>
      <c r="AY74" s="50" t="n">
        <f aca="false">AX74*(1/Y74)</f>
        <v>3.41011670237179E+019</v>
      </c>
      <c r="AZ74" s="50" t="n">
        <f aca="false">AY74*(1/AA74)</f>
        <v>6.82023340474358E+017</v>
      </c>
      <c r="BA74" s="50" t="n">
        <f aca="false">AZ74*(1/AC74)</f>
        <v>341011670237.179</v>
      </c>
      <c r="BB74" s="50" t="n">
        <f aca="false">BA74*(1/AE74)</f>
        <v>11367055674.5726</v>
      </c>
      <c r="BC74" s="50" t="n">
        <f aca="false">BB74*(1/AG74)</f>
        <v>113670556.745726</v>
      </c>
      <c r="BD74" s="66" t="n">
        <f aca="false">BC74*(1/AI74)</f>
        <v>56835278.3728631</v>
      </c>
      <c r="BF74" s="36" t="s">
        <v>274</v>
      </c>
      <c r="BG74" s="0" t="n">
        <v>24614150.4</v>
      </c>
      <c r="BH74" s="36" t="s">
        <v>275</v>
      </c>
    </row>
    <row r="75" customFormat="false" ht="15.75" hidden="false" customHeight="true" outlineLevel="0" collapsed="false">
      <c r="B75" s="88" t="s">
        <v>276</v>
      </c>
      <c r="C75" s="23" t="n">
        <v>59141</v>
      </c>
      <c r="D75" s="23" t="s">
        <v>229</v>
      </c>
      <c r="E75" s="37" t="n">
        <v>0.000116698</v>
      </c>
      <c r="F75" s="37"/>
      <c r="G75" s="37" t="s">
        <v>277</v>
      </c>
      <c r="H75" s="41" t="s">
        <v>278</v>
      </c>
      <c r="I75" s="59"/>
      <c r="J75" s="27"/>
      <c r="K75" s="28"/>
      <c r="L75" s="28" t="n">
        <v>2.6</v>
      </c>
      <c r="M75" s="29" t="str">
        <f aca="false">IF(ISNUMBER(BG75),BG75,"")</f>
        <v/>
      </c>
      <c r="N75" s="29" t="n">
        <f aca="false">IF(ISNUMBER(M75),LN(2)/M75,0)</f>
        <v>0</v>
      </c>
      <c r="O75" s="31" t="n">
        <f aca="false">10^-24</f>
        <v>1E-024</v>
      </c>
      <c r="P75" s="31" t="n">
        <f aca="false">PI()*$K$97^2*$K$98</f>
        <v>13978830.6714131</v>
      </c>
      <c r="Q75" s="32" t="n">
        <f aca="false">E75/O75</f>
        <v>1.16698E+020</v>
      </c>
      <c r="R75" s="32" t="n">
        <f aca="false">Q75*P75</f>
        <v>1.63130158169257E+027</v>
      </c>
      <c r="S75" s="44" t="n">
        <f aca="false">R75*N75</f>
        <v>0</v>
      </c>
      <c r="T75" s="44" t="n">
        <f aca="false">S75*0.000000000027</f>
        <v>0</v>
      </c>
      <c r="U75" s="32" t="str">
        <f aca="false">D75</f>
        <v>Isot tierras raras</v>
      </c>
      <c r="V75" s="46" t="n">
        <v>3E-005</v>
      </c>
      <c r="W75" s="46" t="n">
        <v>8E-005</v>
      </c>
      <c r="X75" s="38" t="n">
        <v>1</v>
      </c>
      <c r="Y75" s="38" t="n">
        <v>1</v>
      </c>
      <c r="Z75" s="38" t="n">
        <v>100</v>
      </c>
      <c r="AA75" s="38" t="n">
        <v>50</v>
      </c>
      <c r="AB75" s="38" t="n">
        <v>10000000</v>
      </c>
      <c r="AC75" s="38" t="n">
        <v>2000000</v>
      </c>
      <c r="AD75" s="38" t="n">
        <v>100</v>
      </c>
      <c r="AE75" s="38" t="n">
        <v>30</v>
      </c>
      <c r="AF75" s="38" t="n">
        <v>100</v>
      </c>
      <c r="AG75" s="38" t="n">
        <v>100</v>
      </c>
      <c r="AH75" s="38" t="n">
        <v>10</v>
      </c>
      <c r="AI75" s="38" t="n">
        <v>2</v>
      </c>
      <c r="AJ75" s="49" t="n">
        <f aca="false">$S75*(1/X75)*(1/Z75)*(1/AB75)*(1/AD75)*(1/AF75)</f>
        <v>0</v>
      </c>
      <c r="AK75" s="49" t="n">
        <f aca="false">$S75*(1/Y75)*(1/AA75)*(1/AC75)*(1/AE75)*(1/AG75)</f>
        <v>0</v>
      </c>
      <c r="AL75" s="49" t="n">
        <f aca="false">AK75*0.000000000027</f>
        <v>0</v>
      </c>
      <c r="AM75" s="49" t="str">
        <f aca="false">B75</f>
        <v>Pr-141</v>
      </c>
      <c r="AO75" s="50" t="n">
        <f aca="false">$S75</f>
        <v>0</v>
      </c>
      <c r="AP75" s="50" t="n">
        <f aca="false">$S75*(1/X75)</f>
        <v>0</v>
      </c>
      <c r="AQ75" s="50" t="n">
        <f aca="false">$S75*(1/X75)*(1/Z75)</f>
        <v>0</v>
      </c>
      <c r="AR75" s="50" t="n">
        <f aca="false">$S75*(1/X75)*(1/Z75)*(1/AB75)</f>
        <v>0</v>
      </c>
      <c r="AS75" s="50" t="n">
        <f aca="false">$S75*(1/X75)*(1/Z75)*(1/AB75)*(1/AD75)</f>
        <v>0</v>
      </c>
      <c r="AT75" s="51" t="n">
        <f aca="false">$S75*(1/X75)*(1/Z75)*(1/AB75)*(1/AD75)*(1/AF75)</f>
        <v>0</v>
      </c>
      <c r="AU75" s="50" t="n">
        <f aca="false">$S75*(1/X75)*(1/Z75)*(1/AB75)*(1/AD75)*(1/AF75)*(1/AH75)</f>
        <v>0</v>
      </c>
      <c r="AX75" s="50" t="n">
        <f aca="false">AO75</f>
        <v>0</v>
      </c>
      <c r="AY75" s="50" t="n">
        <f aca="false">AX75*(1/Y75)</f>
        <v>0</v>
      </c>
      <c r="AZ75" s="50" t="n">
        <f aca="false">AY75*(1/AA75)</f>
        <v>0</v>
      </c>
      <c r="BA75" s="50" t="n">
        <f aca="false">AZ75*(1/AC75)</f>
        <v>0</v>
      </c>
      <c r="BB75" s="50" t="n">
        <f aca="false">BA75*(1/AE75)</f>
        <v>0</v>
      </c>
      <c r="BC75" s="50" t="n">
        <f aca="false">BB75*(1/AG75)</f>
        <v>0</v>
      </c>
      <c r="BD75" s="66" t="n">
        <f aca="false">BC75*(1/AI75)</f>
        <v>0</v>
      </c>
      <c r="BF75" s="36" t="s">
        <v>54</v>
      </c>
      <c r="BH75" s="36" t="s">
        <v>279</v>
      </c>
    </row>
    <row r="76" customFormat="false" ht="15.75" hidden="false" customHeight="true" outlineLevel="0" collapsed="false">
      <c r="B76" s="88" t="s">
        <v>280</v>
      </c>
      <c r="C76" s="23" t="n">
        <v>59143</v>
      </c>
      <c r="D76" s="23" t="s">
        <v>229</v>
      </c>
      <c r="E76" s="37" t="n">
        <v>1.0667E-005</v>
      </c>
      <c r="F76" s="37"/>
      <c r="G76" s="37" t="s">
        <v>281</v>
      </c>
      <c r="H76" s="41" t="s">
        <v>269</v>
      </c>
      <c r="I76" s="59"/>
      <c r="J76" s="27"/>
      <c r="K76" s="28"/>
      <c r="L76" s="28" t="n">
        <v>1</v>
      </c>
      <c r="M76" s="29" t="n">
        <f aca="false">IF(ISNUMBER(BG76),BG76,"")</f>
        <v>1172448</v>
      </c>
      <c r="N76" s="29" t="n">
        <f aca="false">IF(ISNUMBER(M76),LN(2)/M76,0)</f>
        <v>5.91196522626117E-007</v>
      </c>
      <c r="O76" s="31" t="n">
        <f aca="false">10^-24</f>
        <v>1E-024</v>
      </c>
      <c r="P76" s="31" t="n">
        <f aca="false">PI()*$K$97^2*$K$98</f>
        <v>13978830.6714131</v>
      </c>
      <c r="Q76" s="32" t="n">
        <f aca="false">E76/O76</f>
        <v>1.0667E+019</v>
      </c>
      <c r="R76" s="32" t="n">
        <f aca="false">Q76*P76</f>
        <v>1.49112186771964E+026</v>
      </c>
      <c r="S76" s="44" t="n">
        <f aca="false">R76*N76</f>
        <v>8.81546063007612E+019</v>
      </c>
      <c r="T76" s="44" t="n">
        <f aca="false">S76*0.000000000027</f>
        <v>2380174370.12055</v>
      </c>
      <c r="U76" s="32" t="str">
        <f aca="false">D76</f>
        <v>Isot tierras raras</v>
      </c>
      <c r="V76" s="46" t="n">
        <v>3E-005</v>
      </c>
      <c r="W76" s="46" t="n">
        <v>8E-005</v>
      </c>
      <c r="X76" s="38" t="n">
        <v>1</v>
      </c>
      <c r="Y76" s="38" t="n">
        <v>1</v>
      </c>
      <c r="Z76" s="38" t="n">
        <v>100</v>
      </c>
      <c r="AA76" s="38" t="n">
        <v>50</v>
      </c>
      <c r="AB76" s="38" t="n">
        <v>10000000</v>
      </c>
      <c r="AC76" s="38" t="n">
        <v>2000000</v>
      </c>
      <c r="AD76" s="38" t="n">
        <v>100</v>
      </c>
      <c r="AE76" s="38" t="n">
        <v>30</v>
      </c>
      <c r="AF76" s="38" t="n">
        <v>100</v>
      </c>
      <c r="AG76" s="38" t="n">
        <v>100</v>
      </c>
      <c r="AH76" s="38" t="n">
        <v>10</v>
      </c>
      <c r="AI76" s="38" t="n">
        <v>2</v>
      </c>
      <c r="AJ76" s="49" t="n">
        <f aca="false">$S76*(1/X76)*(1/Z76)*(1/AB76)*(1/AD76)*(1/AF76)</f>
        <v>8815460.63007612</v>
      </c>
      <c r="AK76" s="49" t="n">
        <f aca="false">$S76*(1/Y76)*(1/AA76)*(1/AC76)*(1/AE76)*(1/AG76)</f>
        <v>293848687.669204</v>
      </c>
      <c r="AL76" s="49" t="n">
        <f aca="false">AK76*0.000000000027</f>
        <v>0.0079339145670685</v>
      </c>
      <c r="AM76" s="49" t="str">
        <f aca="false">B76</f>
        <v>Pr-143</v>
      </c>
      <c r="AO76" s="50" t="n">
        <f aca="false">$S76</f>
        <v>8.81546063007612E+019</v>
      </c>
      <c r="AP76" s="50" t="n">
        <f aca="false">$S76*(1/X76)</f>
        <v>8.81546063007612E+019</v>
      </c>
      <c r="AQ76" s="50" t="n">
        <f aca="false">$S76*(1/X76)*(1/Z76)</f>
        <v>8.81546063007612E+017</v>
      </c>
      <c r="AR76" s="50" t="n">
        <f aca="false">$S76*(1/X76)*(1/Z76)*(1/AB76)</f>
        <v>88154606300.7612</v>
      </c>
      <c r="AS76" s="50" t="n">
        <f aca="false">$S76*(1/X76)*(1/Z76)*(1/AB76)*(1/AD76)</f>
        <v>881546063.007612</v>
      </c>
      <c r="AT76" s="51" t="n">
        <f aca="false">$S76*(1/X76)*(1/Z76)*(1/AB76)*(1/AD76)*(1/AF76)</f>
        <v>8815460.63007612</v>
      </c>
      <c r="AU76" s="50" t="n">
        <f aca="false">$S76*(1/X76)*(1/Z76)*(1/AB76)*(1/AD76)*(1/AF76)*(1/AH76)</f>
        <v>881546.063007612</v>
      </c>
      <c r="AX76" s="50" t="n">
        <f aca="false">AO76</f>
        <v>8.81546063007612E+019</v>
      </c>
      <c r="AY76" s="50" t="n">
        <f aca="false">AX76*(1/Y76)</f>
        <v>8.81546063007612E+019</v>
      </c>
      <c r="AZ76" s="50" t="n">
        <f aca="false">AY76*(1/AA76)</f>
        <v>1.76309212601522E+018</v>
      </c>
      <c r="BA76" s="50" t="n">
        <f aca="false">AZ76*(1/AC76)</f>
        <v>881546063007.612</v>
      </c>
      <c r="BB76" s="50" t="n">
        <f aca="false">BA76*(1/AE76)</f>
        <v>29384868766.9204</v>
      </c>
      <c r="BC76" s="50" t="n">
        <f aca="false">BB76*(1/AG76)</f>
        <v>293848687.669204</v>
      </c>
      <c r="BD76" s="66" t="n">
        <f aca="false">BC76*(1/AI76)</f>
        <v>146924343.834602</v>
      </c>
      <c r="BF76" s="36" t="s">
        <v>282</v>
      </c>
      <c r="BG76" s="0" t="n">
        <v>1172448</v>
      </c>
      <c r="BH76" s="36" t="s">
        <v>283</v>
      </c>
    </row>
    <row r="77" customFormat="false" ht="15.75" hidden="false" customHeight="true" outlineLevel="0" collapsed="false">
      <c r="B77" s="88" t="s">
        <v>284</v>
      </c>
      <c r="C77" s="23" t="n">
        <v>60143</v>
      </c>
      <c r="D77" s="23" t="s">
        <v>229</v>
      </c>
      <c r="E77" s="37" t="n">
        <v>0.000100964</v>
      </c>
      <c r="F77" s="37"/>
      <c r="G77" s="37" t="s">
        <v>53</v>
      </c>
      <c r="H77" s="41" t="s">
        <v>285</v>
      </c>
      <c r="I77" s="59"/>
      <c r="J77" s="27"/>
      <c r="K77" s="28"/>
      <c r="L77" s="28" t="n">
        <v>3.7</v>
      </c>
      <c r="M77" s="29" t="str">
        <f aca="false">IF(ISNUMBER(BG77),BG77,"")</f>
        <v/>
      </c>
      <c r="N77" s="29" t="n">
        <f aca="false">IF(ISNUMBER(M77),LN(2)/M77,0)</f>
        <v>0</v>
      </c>
      <c r="O77" s="31" t="n">
        <f aca="false">10^-24</f>
        <v>1E-024</v>
      </c>
      <c r="P77" s="31" t="n">
        <f aca="false">PI()*$K$97^2*$K$98</f>
        <v>13978830.6714131</v>
      </c>
      <c r="Q77" s="32" t="n">
        <f aca="false">E77/O77</f>
        <v>1.00964E+020</v>
      </c>
      <c r="R77" s="32" t="n">
        <f aca="false">Q77*P77</f>
        <v>1.41135865990856E+027</v>
      </c>
      <c r="S77" s="44" t="n">
        <f aca="false">R77*N77</f>
        <v>0</v>
      </c>
      <c r="T77" s="44" t="n">
        <f aca="false">S77*0.000000000027</f>
        <v>0</v>
      </c>
      <c r="U77" s="32" t="str">
        <f aca="false">D77</f>
        <v>Isot tierras raras</v>
      </c>
      <c r="V77" s="56" t="n">
        <v>3E-005</v>
      </c>
      <c r="W77" s="56" t="n">
        <v>8E-005</v>
      </c>
      <c r="X77" s="38" t="n">
        <v>1</v>
      </c>
      <c r="Y77" s="38" t="n">
        <v>1</v>
      </c>
      <c r="Z77" s="38" t="n">
        <v>100</v>
      </c>
      <c r="AA77" s="38" t="n">
        <v>50</v>
      </c>
      <c r="AB77" s="38" t="n">
        <v>10000000</v>
      </c>
      <c r="AC77" s="38" t="n">
        <v>2000000</v>
      </c>
      <c r="AD77" s="38" t="n">
        <v>100</v>
      </c>
      <c r="AE77" s="38" t="n">
        <v>30</v>
      </c>
      <c r="AF77" s="38" t="n">
        <v>100</v>
      </c>
      <c r="AG77" s="38" t="n">
        <v>100</v>
      </c>
      <c r="AH77" s="38" t="n">
        <v>10</v>
      </c>
      <c r="AI77" s="38" t="n">
        <v>2</v>
      </c>
      <c r="AJ77" s="49" t="n">
        <f aca="false">$S77*(1/X77)*(1/Z77)*(1/AB77)*(1/AD77)*(1/AF77)</f>
        <v>0</v>
      </c>
      <c r="AK77" s="49" t="n">
        <f aca="false">$S77*(1/Y77)*(1/AA77)*(1/AC77)*(1/AE77)*(1/AG77)</f>
        <v>0</v>
      </c>
      <c r="AL77" s="49" t="n">
        <f aca="false">AK77*0.000000000027</f>
        <v>0</v>
      </c>
      <c r="AM77" s="49" t="str">
        <f aca="false">B77</f>
        <v>Nd-143</v>
      </c>
      <c r="AO77" s="50" t="n">
        <f aca="false">$S77</f>
        <v>0</v>
      </c>
      <c r="AP77" s="50" t="n">
        <f aca="false">$S77*(1/X77)</f>
        <v>0</v>
      </c>
      <c r="AQ77" s="50" t="n">
        <f aca="false">$S77*(1/X77)*(1/Z77)</f>
        <v>0</v>
      </c>
      <c r="AR77" s="50" t="n">
        <f aca="false">$S77*(1/X77)*(1/Z77)*(1/AB77)</f>
        <v>0</v>
      </c>
      <c r="AS77" s="50" t="n">
        <f aca="false">$S77*(1/X77)*(1/Z77)*(1/AB77)*(1/AD77)</f>
        <v>0</v>
      </c>
      <c r="AT77" s="51" t="n">
        <f aca="false">$S77*(1/X77)*(1/Z77)*(1/AB77)*(1/AD77)*(1/AF77)</f>
        <v>0</v>
      </c>
      <c r="AU77" s="50" t="n">
        <f aca="false">$S77*(1/X77)*(1/Z77)*(1/AB77)*(1/AD77)*(1/AF77)*(1/AH77)</f>
        <v>0</v>
      </c>
      <c r="AX77" s="50" t="n">
        <f aca="false">AO77</f>
        <v>0</v>
      </c>
      <c r="AY77" s="50" t="n">
        <f aca="false">AX77*(1/Y77)</f>
        <v>0</v>
      </c>
      <c r="AZ77" s="50" t="n">
        <f aca="false">AY77*(1/AA77)</f>
        <v>0</v>
      </c>
      <c r="BA77" s="50" t="n">
        <f aca="false">AZ77*(1/AC77)</f>
        <v>0</v>
      </c>
      <c r="BB77" s="50" t="n">
        <f aca="false">BA77*(1/AE77)</f>
        <v>0</v>
      </c>
      <c r="BC77" s="50" t="n">
        <f aca="false">BB77*(1/AG77)</f>
        <v>0</v>
      </c>
      <c r="BD77" s="66" t="n">
        <f aca="false">BC77*(1/AI77)</f>
        <v>0</v>
      </c>
      <c r="BF77" s="36" t="s">
        <v>54</v>
      </c>
    </row>
    <row r="78" customFormat="false" ht="15.75" hidden="false" customHeight="true" outlineLevel="0" collapsed="false">
      <c r="B78" s="88" t="s">
        <v>286</v>
      </c>
      <c r="C78" s="23" t="n">
        <v>60144</v>
      </c>
      <c r="D78" s="23" t="s">
        <v>229</v>
      </c>
      <c r="E78" s="37" t="n">
        <v>7.13987E-005</v>
      </c>
      <c r="F78" s="37"/>
      <c r="G78" s="37" t="s">
        <v>287</v>
      </c>
      <c r="H78" s="41" t="s">
        <v>288</v>
      </c>
      <c r="I78" s="59"/>
      <c r="J78" s="27"/>
      <c r="K78" s="28"/>
      <c r="L78" s="28" t="n">
        <v>2.3</v>
      </c>
      <c r="M78" s="29" t="str">
        <f aca="false">IF(ISNUMBER(BG78),BG78,"")</f>
        <v/>
      </c>
      <c r="N78" s="29" t="n">
        <f aca="false">IF(ISNUMBER(M78),LN(2)/M78,0)</f>
        <v>0</v>
      </c>
      <c r="O78" s="31" t="n">
        <f aca="false">10^-24</f>
        <v>1E-024</v>
      </c>
      <c r="P78" s="31" t="n">
        <f aca="false">PI()*$K$97^2*$K$98</f>
        <v>13978830.6714131</v>
      </c>
      <c r="Q78" s="32" t="n">
        <f aca="false">E78/O78</f>
        <v>7.13987E+019</v>
      </c>
      <c r="R78" s="32" t="n">
        <f aca="false">Q78*P78</f>
        <v>9.98070337459026E+026</v>
      </c>
      <c r="S78" s="44" t="n">
        <f aca="false">R78*N78</f>
        <v>0</v>
      </c>
      <c r="T78" s="44" t="n">
        <f aca="false">S78*0.000000000027</f>
        <v>0</v>
      </c>
      <c r="U78" s="32" t="str">
        <f aca="false">D78</f>
        <v>Isot tierras raras</v>
      </c>
      <c r="V78" s="56" t="n">
        <v>3E-005</v>
      </c>
      <c r="W78" s="56" t="n">
        <v>8E-005</v>
      </c>
      <c r="X78" s="38" t="n">
        <v>1</v>
      </c>
      <c r="Y78" s="38" t="n">
        <v>1</v>
      </c>
      <c r="Z78" s="38" t="n">
        <v>100</v>
      </c>
      <c r="AA78" s="38" t="n">
        <v>50</v>
      </c>
      <c r="AB78" s="38" t="n">
        <v>10000000</v>
      </c>
      <c r="AC78" s="38" t="n">
        <v>2000000</v>
      </c>
      <c r="AD78" s="38" t="n">
        <v>100</v>
      </c>
      <c r="AE78" s="38" t="n">
        <v>30</v>
      </c>
      <c r="AF78" s="38" t="n">
        <v>100</v>
      </c>
      <c r="AG78" s="38" t="n">
        <v>100</v>
      </c>
      <c r="AH78" s="38" t="n">
        <v>10</v>
      </c>
      <c r="AI78" s="38" t="n">
        <v>2</v>
      </c>
      <c r="AJ78" s="49" t="n">
        <f aca="false">$S78*(1/X78)*(1/Z78)*(1/AB78)*(1/AD78)*(1/AF78)</f>
        <v>0</v>
      </c>
      <c r="AK78" s="49" t="n">
        <f aca="false">$S78*(1/Y78)*(1/AA78)*(1/AC78)*(1/AE78)*(1/AG78)</f>
        <v>0</v>
      </c>
      <c r="AL78" s="49" t="n">
        <f aca="false">AK78*0.000000000027</f>
        <v>0</v>
      </c>
      <c r="AM78" s="49" t="str">
        <f aca="false">B78</f>
        <v>Nd-144</v>
      </c>
      <c r="AO78" s="50" t="n">
        <f aca="false">$S78</f>
        <v>0</v>
      </c>
      <c r="AP78" s="50" t="n">
        <f aca="false">$S78*(1/X78)</f>
        <v>0</v>
      </c>
      <c r="AQ78" s="50" t="n">
        <f aca="false">$S78*(1/X78)*(1/Z78)</f>
        <v>0</v>
      </c>
      <c r="AR78" s="50" t="n">
        <f aca="false">$S78*(1/X78)*(1/Z78)*(1/AB78)</f>
        <v>0</v>
      </c>
      <c r="AS78" s="50" t="n">
        <f aca="false">$S78*(1/X78)*(1/Z78)*(1/AB78)*(1/AD78)</f>
        <v>0</v>
      </c>
      <c r="AT78" s="51" t="n">
        <f aca="false">$S78*(1/X78)*(1/Z78)*(1/AB78)*(1/AD78)*(1/AF78)</f>
        <v>0</v>
      </c>
      <c r="AU78" s="50" t="n">
        <f aca="false">$S78*(1/X78)*(1/Z78)*(1/AB78)*(1/AD78)*(1/AF78)*(1/AH78)</f>
        <v>0</v>
      </c>
      <c r="AX78" s="50" t="n">
        <f aca="false">AO78</f>
        <v>0</v>
      </c>
      <c r="AY78" s="50" t="n">
        <f aca="false">AX78*(1/Y78)</f>
        <v>0</v>
      </c>
      <c r="AZ78" s="50" t="n">
        <f aca="false">AY78*(1/AA78)</f>
        <v>0</v>
      </c>
      <c r="BA78" s="50" t="n">
        <f aca="false">AZ78*(1/AC78)</f>
        <v>0</v>
      </c>
      <c r="BB78" s="50" t="n">
        <f aca="false">BA78*(1/AE78)</f>
        <v>0</v>
      </c>
      <c r="BC78" s="50" t="n">
        <f aca="false">BB78*(1/AG78)</f>
        <v>0</v>
      </c>
      <c r="BD78" s="66" t="n">
        <f aca="false">BC78*(1/AI78)</f>
        <v>0</v>
      </c>
      <c r="BF78" s="36" t="s">
        <v>289</v>
      </c>
    </row>
    <row r="79" customFormat="false" ht="15.75" hidden="true" customHeight="true" outlineLevel="0" collapsed="false">
      <c r="B79" s="22" t="s">
        <v>290</v>
      </c>
      <c r="C79" s="23" t="n">
        <v>64157</v>
      </c>
      <c r="D79" s="23"/>
      <c r="E79" s="37" t="n">
        <v>1.76087E-008</v>
      </c>
      <c r="F79" s="37"/>
      <c r="G79" s="37" t="s">
        <v>53</v>
      </c>
      <c r="H79" s="25" t="s">
        <v>53</v>
      </c>
      <c r="I79" s="59"/>
      <c r="J79" s="27"/>
      <c r="K79" s="28"/>
      <c r="L79" s="28"/>
      <c r="M79" s="29" t="str">
        <f aca="false">IF(ISNUMBER(BG79),BG79,"")</f>
        <v/>
      </c>
      <c r="N79" s="30" t="n">
        <f aca="false">IF(ISNUMBER(M79),LN(2)/M79,0)</f>
        <v>0</v>
      </c>
      <c r="O79" s="31" t="n">
        <f aca="false">10^-24</f>
        <v>1E-024</v>
      </c>
      <c r="P79" s="31" t="n">
        <f aca="false">PI()*$K$97^2*$K$98</f>
        <v>13978830.6714131</v>
      </c>
      <c r="Q79" s="32" t="n">
        <f aca="false">E79/O79</f>
        <v>17608700000000000</v>
      </c>
      <c r="R79" s="32" t="n">
        <f aca="false">Q79*P79</f>
        <v>2.46149035643713E+023</v>
      </c>
      <c r="S79" s="32" t="n">
        <f aca="false">R79*N79</f>
        <v>0</v>
      </c>
      <c r="T79" s="54"/>
      <c r="U79" s="54"/>
      <c r="V79" s="56" t="n">
        <v>3E-005</v>
      </c>
      <c r="W79" s="56" t="n">
        <v>8E-005</v>
      </c>
      <c r="X79" s="55" t="n">
        <v>0.01</v>
      </c>
      <c r="Y79" s="38"/>
      <c r="Z79" s="38" t="n">
        <v>0.999</v>
      </c>
      <c r="AA79" s="38"/>
      <c r="AB79" s="38"/>
      <c r="AC79" s="38"/>
      <c r="AD79" s="38"/>
      <c r="AE79" s="38"/>
      <c r="AF79" s="38"/>
      <c r="AG79" s="38"/>
      <c r="AH79" s="55"/>
      <c r="AI79" s="55"/>
      <c r="AJ79" s="54" t="n">
        <f aca="false">S79*X79*(1-Z79)</f>
        <v>0</v>
      </c>
      <c r="AK79" s="35"/>
      <c r="AL79" s="35"/>
      <c r="AM79" s="35"/>
      <c r="BF79" s="36" t="s">
        <v>54</v>
      </c>
    </row>
    <row r="80" customFormat="false" ht="15.75" hidden="false" customHeight="true" outlineLevel="0" collapsed="false">
      <c r="B80" s="88" t="s">
        <v>291</v>
      </c>
      <c r="C80" s="23" t="n">
        <v>60145</v>
      </c>
      <c r="D80" s="23" t="s">
        <v>229</v>
      </c>
      <c r="E80" s="37" t="n">
        <v>8.47874E-005</v>
      </c>
      <c r="F80" s="37"/>
      <c r="G80" s="37" t="s">
        <v>53</v>
      </c>
      <c r="H80" s="41" t="s">
        <v>292</v>
      </c>
      <c r="I80" s="59"/>
      <c r="J80" s="27"/>
      <c r="K80" s="28" t="n">
        <v>3.5</v>
      </c>
      <c r="L80" s="28"/>
      <c r="M80" s="29" t="str">
        <f aca="false">IF(ISNUMBER(BG80),BG80,"")</f>
        <v/>
      </c>
      <c r="N80" s="29" t="n">
        <f aca="false">IF(ISNUMBER(M80),LN(2)/M80,0)</f>
        <v>0</v>
      </c>
      <c r="O80" s="31" t="n">
        <f aca="false">10^-24</f>
        <v>1E-024</v>
      </c>
      <c r="P80" s="31" t="n">
        <f aca="false">PI()*$K$97^2*$K$98</f>
        <v>13978830.6714131</v>
      </c>
      <c r="Q80" s="32" t="n">
        <f aca="false">E80/O80</f>
        <v>8.47874E+019</v>
      </c>
      <c r="R80" s="32" t="n">
        <f aca="false">Q80*P80</f>
        <v>1.18522870766937E+027</v>
      </c>
      <c r="S80" s="44" t="n">
        <f aca="false">R80*N80</f>
        <v>0</v>
      </c>
      <c r="T80" s="44" t="n">
        <f aca="false">S80*0.000000000027</f>
        <v>0</v>
      </c>
      <c r="U80" s="32" t="str">
        <f aca="false">D80</f>
        <v>Isot tierras raras</v>
      </c>
      <c r="V80" s="56" t="n">
        <v>3E-005</v>
      </c>
      <c r="W80" s="56" t="n">
        <v>8E-005</v>
      </c>
      <c r="X80" s="38" t="n">
        <v>1</v>
      </c>
      <c r="Y80" s="38" t="n">
        <v>1</v>
      </c>
      <c r="Z80" s="38" t="n">
        <v>100</v>
      </c>
      <c r="AA80" s="38" t="n">
        <v>50</v>
      </c>
      <c r="AB80" s="38" t="n">
        <v>10000000</v>
      </c>
      <c r="AC80" s="38" t="n">
        <v>2000000</v>
      </c>
      <c r="AD80" s="38" t="n">
        <v>100</v>
      </c>
      <c r="AE80" s="38" t="n">
        <v>30</v>
      </c>
      <c r="AF80" s="38" t="n">
        <v>100</v>
      </c>
      <c r="AG80" s="38" t="n">
        <v>100</v>
      </c>
      <c r="AH80" s="38" t="n">
        <v>10</v>
      </c>
      <c r="AI80" s="38" t="n">
        <v>2</v>
      </c>
      <c r="AJ80" s="49" t="n">
        <f aca="false">$S80*(1/X80)*(1/Z80)*(1/AB80)*(1/AD80)*(1/AF80)</f>
        <v>0</v>
      </c>
      <c r="AK80" s="49" t="n">
        <f aca="false">$S80*(1/Y80)*(1/AA80)*(1/AC80)*(1/AE80)*(1/AG80)</f>
        <v>0</v>
      </c>
      <c r="AL80" s="49" t="n">
        <f aca="false">AK80*0.000000000027</f>
        <v>0</v>
      </c>
      <c r="AM80" s="49" t="str">
        <f aca="false">B80</f>
        <v>Nd-145</v>
      </c>
      <c r="AO80" s="50" t="n">
        <f aca="false">$S80</f>
        <v>0</v>
      </c>
      <c r="AP80" s="50" t="n">
        <f aca="false">$S80*(1/X80)</f>
        <v>0</v>
      </c>
      <c r="AQ80" s="50" t="n">
        <f aca="false">$S80*(1/X80)*(1/Z80)</f>
        <v>0</v>
      </c>
      <c r="AR80" s="50" t="n">
        <f aca="false">$S80*(1/X80)*(1/Z80)*(1/AB80)</f>
        <v>0</v>
      </c>
      <c r="AS80" s="50" t="n">
        <f aca="false">$S80*(1/X80)*(1/Z80)*(1/AB80)*(1/AD80)</f>
        <v>0</v>
      </c>
      <c r="AT80" s="51" t="n">
        <f aca="false">$S80*(1/X80)*(1/Z80)*(1/AB80)*(1/AD80)*(1/AF80)</f>
        <v>0</v>
      </c>
      <c r="AU80" s="50" t="n">
        <f aca="false">$S80*(1/X80)*(1/Z80)*(1/AB80)*(1/AD80)*(1/AF80)*(1/AH80)</f>
        <v>0</v>
      </c>
      <c r="AX80" s="50" t="n">
        <f aca="false">AO80</f>
        <v>0</v>
      </c>
      <c r="AY80" s="50" t="n">
        <f aca="false">AX80*(1/Y80)</f>
        <v>0</v>
      </c>
      <c r="AZ80" s="50" t="n">
        <f aca="false">AY80*(1/AA80)</f>
        <v>0</v>
      </c>
      <c r="BA80" s="50" t="n">
        <f aca="false">AZ80*(1/AC80)</f>
        <v>0</v>
      </c>
      <c r="BB80" s="50" t="n">
        <f aca="false">BA80*(1/AE80)</f>
        <v>0</v>
      </c>
      <c r="BC80" s="50" t="n">
        <f aca="false">BB80*(1/AG80)</f>
        <v>0</v>
      </c>
      <c r="BD80" s="66" t="n">
        <f aca="false">BC80*(1/AI80)</f>
        <v>0</v>
      </c>
      <c r="BF80" s="36" t="s">
        <v>54</v>
      </c>
    </row>
    <row r="81" customFormat="false" ht="15.75" hidden="true" customHeight="true" outlineLevel="0" collapsed="false">
      <c r="B81" s="22" t="s">
        <v>293</v>
      </c>
      <c r="C81" s="23" t="n">
        <v>92236</v>
      </c>
      <c r="D81" s="23" t="s">
        <v>135</v>
      </c>
      <c r="E81" s="37" t="n">
        <v>0.000433584</v>
      </c>
      <c r="F81" s="37" t="s">
        <v>294</v>
      </c>
      <c r="G81" s="37" t="s">
        <v>295</v>
      </c>
      <c r="H81" s="41" t="s">
        <v>296</v>
      </c>
      <c r="I81" s="59"/>
      <c r="J81" s="27"/>
      <c r="K81" s="28"/>
      <c r="L81" s="28"/>
      <c r="M81" s="29" t="n">
        <f aca="false">IF(ISNUMBER(BG81),BG81,"")</f>
        <v>739063208793600</v>
      </c>
      <c r="N81" s="30" t="n">
        <f aca="false">IF(ISNUMBER(M81),LN(2)/M81,0)</f>
        <v>9.37872664087007E-016</v>
      </c>
      <c r="O81" s="31" t="n">
        <f aca="false">10^-24</f>
        <v>1E-024</v>
      </c>
      <c r="P81" s="31" t="n">
        <f aca="false">PI()*$K$97^2*$K$98</f>
        <v>13978830.6714131</v>
      </c>
      <c r="Q81" s="32" t="n">
        <f aca="false">E81/O81</f>
        <v>4.33584E+020</v>
      </c>
      <c r="R81" s="32" t="n">
        <f aca="false">Q81*P81</f>
        <v>6.060997317834E+027</v>
      </c>
      <c r="S81" s="32" t="n">
        <f aca="false">R81*N81</f>
        <v>5684443701501.17</v>
      </c>
      <c r="T81" s="54"/>
      <c r="U81" s="54"/>
      <c r="V81" s="56" t="n">
        <v>3E-005</v>
      </c>
      <c r="W81" s="56" t="n">
        <v>8E-005</v>
      </c>
      <c r="X81" s="55" t="n">
        <v>1</v>
      </c>
      <c r="Y81" s="38" t="n">
        <v>1</v>
      </c>
      <c r="Z81" s="38" t="n">
        <v>200</v>
      </c>
      <c r="AA81" s="38" t="n">
        <v>100</v>
      </c>
      <c r="AB81" s="38" t="n">
        <f aca="false">10^7</f>
        <v>10000000</v>
      </c>
      <c r="AC81" s="38" t="n">
        <f aca="false">2000000</f>
        <v>2000000</v>
      </c>
      <c r="AD81" s="38" t="n">
        <v>100</v>
      </c>
      <c r="AE81" s="38" t="n">
        <v>30</v>
      </c>
      <c r="AF81" s="38" t="n">
        <v>100</v>
      </c>
      <c r="AG81" s="38" t="n">
        <v>100</v>
      </c>
      <c r="AH81" s="55" t="n">
        <v>10</v>
      </c>
      <c r="AI81" s="55" t="n">
        <v>2</v>
      </c>
      <c r="AJ81" s="54" t="n">
        <f aca="false">$S81*(1/X81)*(1/Z81)*(1/AB81)*(1/AD81)*(1/AF81)*(1/AH81)</f>
        <v>0.0284222185075059</v>
      </c>
      <c r="AK81" s="35" t="n">
        <f aca="false">$S81*(1/Y81)*(1/AA81)*(1/AC81)*(1/AE81)*(1/AG81)*(1/AI81)</f>
        <v>4.73703641791764</v>
      </c>
      <c r="AL81" s="35" t="n">
        <f aca="false">AK81*0.000000000027</f>
        <v>1.27899983283776E-010</v>
      </c>
      <c r="AM81" s="35" t="str">
        <f aca="false">B81</f>
        <v>U-236</v>
      </c>
      <c r="AO81" s="66" t="n">
        <f aca="false">$S81</f>
        <v>5684443701501.17</v>
      </c>
      <c r="AP81" s="36" t="n">
        <f aca="false">$S81*(1/X81)</f>
        <v>5684443701501.17</v>
      </c>
      <c r="AQ81" s="36" t="n">
        <f aca="false">$S81*(1/X81)*(1/Z81)</f>
        <v>28422218507.5059</v>
      </c>
      <c r="AR81" s="36" t="n">
        <f aca="false">$S81*(1/X81)*(1/Z81)*(1/AB81)</f>
        <v>2842.22185075059</v>
      </c>
      <c r="AS81" s="36" t="n">
        <f aca="false">$S81*(1/X81)*(1/Z81)*(1/AB81)*(1/AD81)</f>
        <v>28.4222185075059</v>
      </c>
      <c r="AT81" s="36" t="n">
        <f aca="false">$S81*(1/X81)*(1/Z81)*(1/AB81)*(1/AD81)*(1/AF81)</f>
        <v>0.284222185075059</v>
      </c>
      <c r="AU81" s="36" t="n">
        <f aca="false">$S81*(1/X81)*(1/Z81)*(1/AB81)*(1/AD81)*(1/AF81)*(1/AH81)</f>
        <v>0.0284222185075059</v>
      </c>
      <c r="AX81" s="66" t="n">
        <f aca="false">AO81</f>
        <v>5684443701501.17</v>
      </c>
      <c r="AY81" s="36" t="n">
        <f aca="false">AX81*(1/Y81)</f>
        <v>5684443701501.17</v>
      </c>
      <c r="AZ81" s="36" t="n">
        <f aca="false">AY81*(1/AA81)</f>
        <v>56844437015.0117</v>
      </c>
      <c r="BA81" s="36" t="n">
        <f aca="false">AZ81*(1/AC81)</f>
        <v>28422.2185075059</v>
      </c>
      <c r="BB81" s="36" t="n">
        <f aca="false">BA81*(1/AE81)</f>
        <v>947.407283583529</v>
      </c>
      <c r="BC81" s="36" t="n">
        <f aca="false">BB81*(1/AG81)</f>
        <v>9.47407283583529</v>
      </c>
      <c r="BD81" s="36" t="n">
        <f aca="false">BC81*(1/AI81)</f>
        <v>4.73703641791764</v>
      </c>
      <c r="BF81" s="36" t="s">
        <v>297</v>
      </c>
      <c r="BG81" s="0" t="n">
        <v>739063208793600</v>
      </c>
      <c r="BI81" s="36" t="s">
        <v>298</v>
      </c>
    </row>
    <row r="82" customFormat="false" ht="15.75" hidden="false" customHeight="true" outlineLevel="0" collapsed="false">
      <c r="B82" s="88" t="s">
        <v>299</v>
      </c>
      <c r="C82" s="23" t="n">
        <v>60146</v>
      </c>
      <c r="D82" s="23" t="s">
        <v>229</v>
      </c>
      <c r="E82" s="37" t="n">
        <v>8.23345E-005</v>
      </c>
      <c r="F82" s="37"/>
      <c r="G82" s="37" t="s">
        <v>53</v>
      </c>
      <c r="H82" s="41" t="s">
        <v>300</v>
      </c>
      <c r="I82" s="59"/>
      <c r="J82" s="27" t="n">
        <v>13.5</v>
      </c>
      <c r="K82" s="28"/>
      <c r="L82" s="28"/>
      <c r="M82" s="29" t="str">
        <f aca="false">IF(ISNUMBER(BG82),BG82,"")</f>
        <v/>
      </c>
      <c r="N82" s="29" t="n">
        <f aca="false">IF(ISNUMBER(M82),LN(2)/M82,0)</f>
        <v>0</v>
      </c>
      <c r="O82" s="31" t="n">
        <f aca="false">10^-24</f>
        <v>1E-024</v>
      </c>
      <c r="P82" s="31" t="n">
        <f aca="false">PI()*$K$97^2*$K$98</f>
        <v>13978830.6714131</v>
      </c>
      <c r="Q82" s="32" t="n">
        <f aca="false">E82/O82</f>
        <v>8.23345E+019</v>
      </c>
      <c r="R82" s="32" t="n">
        <f aca="false">Q82*P82</f>
        <v>1.15094003391547E+027</v>
      </c>
      <c r="S82" s="44" t="n">
        <f aca="false">R82*N82</f>
        <v>0</v>
      </c>
      <c r="T82" s="44" t="n">
        <f aca="false">S82*0.000000000027</f>
        <v>0</v>
      </c>
      <c r="U82" s="32" t="str">
        <f aca="false">D82</f>
        <v>Isot tierras raras</v>
      </c>
      <c r="V82" s="56" t="n">
        <v>3E-005</v>
      </c>
      <c r="W82" s="56" t="n">
        <v>8E-005</v>
      </c>
      <c r="X82" s="38" t="n">
        <v>1</v>
      </c>
      <c r="Y82" s="38" t="n">
        <v>1</v>
      </c>
      <c r="Z82" s="38" t="n">
        <v>100</v>
      </c>
      <c r="AA82" s="38" t="n">
        <v>50</v>
      </c>
      <c r="AB82" s="38" t="n">
        <v>10000000</v>
      </c>
      <c r="AC82" s="38" t="n">
        <v>2000000</v>
      </c>
      <c r="AD82" s="38" t="n">
        <v>100</v>
      </c>
      <c r="AE82" s="38" t="n">
        <v>30</v>
      </c>
      <c r="AF82" s="38" t="n">
        <v>100</v>
      </c>
      <c r="AG82" s="38" t="n">
        <v>100</v>
      </c>
      <c r="AH82" s="38" t="n">
        <v>10</v>
      </c>
      <c r="AI82" s="38" t="n">
        <v>2</v>
      </c>
      <c r="AJ82" s="49" t="n">
        <f aca="false">$S82*(1/X82)*(1/Z82)*(1/AB82)*(1/AD82)*(1/AF82)</f>
        <v>0</v>
      </c>
      <c r="AK82" s="49" t="n">
        <f aca="false">$S82*(1/Y82)*(1/AA82)*(1/AC82)*(1/AE82)*(1/AG82)</f>
        <v>0</v>
      </c>
      <c r="AL82" s="49" t="n">
        <f aca="false">AK82*0.000000000027</f>
        <v>0</v>
      </c>
      <c r="AM82" s="49" t="str">
        <f aca="false">B82</f>
        <v>Nd-146</v>
      </c>
      <c r="AO82" s="50" t="n">
        <f aca="false">$S82</f>
        <v>0</v>
      </c>
      <c r="AP82" s="50" t="n">
        <f aca="false">$S82*(1/X82)</f>
        <v>0</v>
      </c>
      <c r="AQ82" s="50" t="n">
        <f aca="false">$S82*(1/X82)*(1/Z82)</f>
        <v>0</v>
      </c>
      <c r="AR82" s="50" t="n">
        <f aca="false">$S82*(1/X82)*(1/Z82)*(1/AB82)</f>
        <v>0</v>
      </c>
      <c r="AS82" s="50" t="n">
        <f aca="false">$S82*(1/X82)*(1/Z82)*(1/AB82)*(1/AD82)</f>
        <v>0</v>
      </c>
      <c r="AT82" s="51" t="n">
        <f aca="false">$S82*(1/X82)*(1/Z82)*(1/AB82)*(1/AD82)*(1/AF82)</f>
        <v>0</v>
      </c>
      <c r="AU82" s="50" t="n">
        <f aca="false">$S82*(1/X82)*(1/Z82)*(1/AB82)*(1/AD82)*(1/AF82)*(1/AH82)</f>
        <v>0</v>
      </c>
      <c r="AX82" s="50" t="n">
        <f aca="false">AO82</f>
        <v>0</v>
      </c>
      <c r="AY82" s="50" t="n">
        <f aca="false">AX82*(1/Y82)</f>
        <v>0</v>
      </c>
      <c r="AZ82" s="50" t="n">
        <f aca="false">AY82*(1/AA82)</f>
        <v>0</v>
      </c>
      <c r="BA82" s="50" t="n">
        <f aca="false">AZ82*(1/AC82)</f>
        <v>0</v>
      </c>
      <c r="BB82" s="50" t="n">
        <f aca="false">BA82*(1/AE82)</f>
        <v>0</v>
      </c>
      <c r="BC82" s="50" t="n">
        <f aca="false">BB82*(1/AG82)</f>
        <v>0</v>
      </c>
      <c r="BD82" s="66" t="n">
        <f aca="false">BC82*(1/AI82)</f>
        <v>0</v>
      </c>
      <c r="BF82" s="36" t="s">
        <v>54</v>
      </c>
    </row>
    <row r="83" customFormat="false" ht="15.75" hidden="false" customHeight="true" outlineLevel="0" collapsed="false">
      <c r="B83" s="88" t="s">
        <v>301</v>
      </c>
      <c r="C83" s="23" t="n">
        <v>60147</v>
      </c>
      <c r="D83" s="23" t="s">
        <v>229</v>
      </c>
      <c r="E83" s="37" t="n">
        <v>3.36571E-006</v>
      </c>
      <c r="F83" s="37" t="s">
        <v>302</v>
      </c>
      <c r="G83" s="37" t="s">
        <v>303</v>
      </c>
      <c r="H83" s="41" t="s">
        <v>304</v>
      </c>
      <c r="I83" s="59"/>
      <c r="J83" s="27"/>
      <c r="K83" s="28" t="n">
        <v>1.8</v>
      </c>
      <c r="L83" s="28"/>
      <c r="M83" s="29" t="n">
        <f aca="false">IF(ISNUMBER(BG83),BG83,"")</f>
        <v>948672</v>
      </c>
      <c r="N83" s="29" t="n">
        <f aca="false">IF(ISNUMBER(M83),LN(2)/M83,0)</f>
        <v>7.30649982881275E-007</v>
      </c>
      <c r="O83" s="31" t="n">
        <f aca="false">10^-24</f>
        <v>1E-024</v>
      </c>
      <c r="P83" s="31" t="n">
        <f aca="false">PI()*$K$97^2*$K$98</f>
        <v>13978830.6714131</v>
      </c>
      <c r="Q83" s="32" t="n">
        <f aca="false">E83/O83</f>
        <v>3.36571E+018</v>
      </c>
      <c r="R83" s="32" t="n">
        <f aca="false">Q83*P83</f>
        <v>4.70486901790819E+025</v>
      </c>
      <c r="S83" s="44" t="n">
        <f aca="false">R83*N83</f>
        <v>3.43761246739327E+019</v>
      </c>
      <c r="T83" s="44" t="n">
        <f aca="false">S83*0.000000000027</f>
        <v>928155366.196182</v>
      </c>
      <c r="U83" s="32" t="str">
        <f aca="false">D83</f>
        <v>Isot tierras raras</v>
      </c>
      <c r="V83" s="56" t="n">
        <v>3E-005</v>
      </c>
      <c r="W83" s="56" t="n">
        <v>8E-005</v>
      </c>
      <c r="X83" s="38" t="n">
        <v>1</v>
      </c>
      <c r="Y83" s="38" t="n">
        <v>1</v>
      </c>
      <c r="Z83" s="38" t="n">
        <v>100</v>
      </c>
      <c r="AA83" s="38" t="n">
        <v>50</v>
      </c>
      <c r="AB83" s="38" t="n">
        <v>10000000</v>
      </c>
      <c r="AC83" s="38" t="n">
        <v>2000000</v>
      </c>
      <c r="AD83" s="38" t="n">
        <v>100</v>
      </c>
      <c r="AE83" s="38" t="n">
        <v>30</v>
      </c>
      <c r="AF83" s="38" t="n">
        <v>100</v>
      </c>
      <c r="AG83" s="38" t="n">
        <v>100</v>
      </c>
      <c r="AH83" s="38" t="n">
        <v>10</v>
      </c>
      <c r="AI83" s="38" t="n">
        <v>2</v>
      </c>
      <c r="AJ83" s="49" t="n">
        <f aca="false">$S83*(1/X83)*(1/Z83)*(1/AB83)*(1/AD83)*(1/AF83)</f>
        <v>3437612.46739326</v>
      </c>
      <c r="AK83" s="49" t="n">
        <f aca="false">$S83*(1/Y83)*(1/AA83)*(1/AC83)*(1/AE83)*(1/AG83)</f>
        <v>114587082.246442</v>
      </c>
      <c r="AL83" s="49" t="n">
        <f aca="false">AK83*0.000000000027</f>
        <v>0.00309385122065394</v>
      </c>
      <c r="AM83" s="49" t="str">
        <f aca="false">B83</f>
        <v>Nd-147</v>
      </c>
      <c r="AO83" s="50" t="n">
        <f aca="false">$S83</f>
        <v>3.43761246739327E+019</v>
      </c>
      <c r="AP83" s="50" t="n">
        <f aca="false">$S83*(1/X83)</f>
        <v>3.43761246739327E+019</v>
      </c>
      <c r="AQ83" s="50" t="n">
        <f aca="false">$S83*(1/X83)*(1/Z83)</f>
        <v>3.43761246739326E+017</v>
      </c>
      <c r="AR83" s="50" t="n">
        <f aca="false">$S83*(1/X83)*(1/Z83)*(1/AB83)</f>
        <v>34376124673.9327</v>
      </c>
      <c r="AS83" s="50" t="n">
        <f aca="false">$S83*(1/X83)*(1/Z83)*(1/AB83)*(1/AD83)</f>
        <v>343761246.739327</v>
      </c>
      <c r="AT83" s="51" t="n">
        <f aca="false">$S83*(1/X83)*(1/Z83)*(1/AB83)*(1/AD83)*(1/AF83)</f>
        <v>3437612.46739326</v>
      </c>
      <c r="AU83" s="50" t="n">
        <f aca="false">$S83*(1/X83)*(1/Z83)*(1/AB83)*(1/AD83)*(1/AF83)*(1/AH83)</f>
        <v>343761.246739327</v>
      </c>
      <c r="AX83" s="50" t="n">
        <f aca="false">AO83</f>
        <v>3.43761246739327E+019</v>
      </c>
      <c r="AY83" s="50" t="n">
        <f aca="false">AX83*(1/Y83)</f>
        <v>3.43761246739327E+019</v>
      </c>
      <c r="AZ83" s="50" t="n">
        <f aca="false">AY83*(1/AA83)</f>
        <v>6.87522493478653E+017</v>
      </c>
      <c r="BA83" s="50" t="n">
        <f aca="false">AZ83*(1/AC83)</f>
        <v>343761246739.327</v>
      </c>
      <c r="BB83" s="50" t="n">
        <f aca="false">BA83*(1/AE83)</f>
        <v>11458708224.6442</v>
      </c>
      <c r="BC83" s="50" t="n">
        <f aca="false">BB83*(1/AG83)</f>
        <v>114587082.246442</v>
      </c>
      <c r="BD83" s="66" t="n">
        <f aca="false">BC83*(1/AI83)</f>
        <v>57293541.1232211</v>
      </c>
      <c r="BF83" s="36" t="s">
        <v>305</v>
      </c>
      <c r="BG83" s="0" t="n">
        <v>948672</v>
      </c>
    </row>
    <row r="84" customFormat="false" ht="15.75" hidden="false" customHeight="true" outlineLevel="0" collapsed="false">
      <c r="B84" s="88" t="s">
        <v>306</v>
      </c>
      <c r="C84" s="23" t="n">
        <v>60150</v>
      </c>
      <c r="D84" s="23" t="s">
        <v>229</v>
      </c>
      <c r="E84" s="37" t="n">
        <v>1.83824E-005</v>
      </c>
      <c r="F84" s="37"/>
      <c r="G84" s="37" t="s">
        <v>53</v>
      </c>
      <c r="H84" s="41" t="s">
        <v>307</v>
      </c>
      <c r="I84" s="59" t="n">
        <v>7E+018</v>
      </c>
      <c r="J84" s="27"/>
      <c r="K84" s="28"/>
      <c r="L84" s="28"/>
      <c r="M84" s="29" t="str">
        <f aca="false">IF(ISNUMBER(BG84),BG84,"")</f>
        <v/>
      </c>
      <c r="N84" s="29" t="n">
        <f aca="false">IF(ISNUMBER(M84),LN(2)/M84,0)</f>
        <v>0</v>
      </c>
      <c r="O84" s="31" t="n">
        <f aca="false">10^-24</f>
        <v>1E-024</v>
      </c>
      <c r="P84" s="31" t="n">
        <f aca="false">PI()*$K$97^2*$K$98</f>
        <v>13978830.6714131</v>
      </c>
      <c r="Q84" s="32" t="n">
        <f aca="false">E84/O84</f>
        <v>1.83824E+019</v>
      </c>
      <c r="R84" s="32" t="n">
        <f aca="false">Q84*P84</f>
        <v>2.56964456934185E+026</v>
      </c>
      <c r="S84" s="44" t="n">
        <f aca="false">R84*N84</f>
        <v>0</v>
      </c>
      <c r="T84" s="44" t="n">
        <f aca="false">S84*0.000000000027</f>
        <v>0</v>
      </c>
      <c r="U84" s="32" t="str">
        <f aca="false">D84</f>
        <v>Isot tierras raras</v>
      </c>
      <c r="V84" s="56" t="n">
        <v>3E-005</v>
      </c>
      <c r="W84" s="56" t="n">
        <v>8E-005</v>
      </c>
      <c r="X84" s="38" t="n">
        <v>1</v>
      </c>
      <c r="Y84" s="38" t="n">
        <v>1</v>
      </c>
      <c r="Z84" s="38" t="n">
        <v>100</v>
      </c>
      <c r="AA84" s="38" t="n">
        <v>50</v>
      </c>
      <c r="AB84" s="38" t="n">
        <v>10000000</v>
      </c>
      <c r="AC84" s="38" t="n">
        <v>2000000</v>
      </c>
      <c r="AD84" s="38" t="n">
        <v>100</v>
      </c>
      <c r="AE84" s="38" t="n">
        <v>30</v>
      </c>
      <c r="AF84" s="38" t="n">
        <v>100</v>
      </c>
      <c r="AG84" s="38" t="n">
        <v>100</v>
      </c>
      <c r="AH84" s="38" t="n">
        <v>10</v>
      </c>
      <c r="AI84" s="38" t="n">
        <v>2</v>
      </c>
      <c r="AJ84" s="49" t="n">
        <f aca="false">$S84*(1/X84)*(1/Z84)*(1/AB84)*(1/AD84)*(1/AF84)</f>
        <v>0</v>
      </c>
      <c r="AK84" s="49" t="n">
        <f aca="false">$S84*(1/Y84)*(1/AA84)*(1/AC84)*(1/AE84)*(1/AG84)</f>
        <v>0</v>
      </c>
      <c r="AL84" s="49" t="n">
        <f aca="false">AK84*0.000000000027</f>
        <v>0</v>
      </c>
      <c r="AM84" s="49" t="str">
        <f aca="false">B84</f>
        <v>Nd-150</v>
      </c>
      <c r="AO84" s="50" t="n">
        <f aca="false">$S84</f>
        <v>0</v>
      </c>
      <c r="AP84" s="50" t="n">
        <f aca="false">$S84*(1/X84)</f>
        <v>0</v>
      </c>
      <c r="AQ84" s="50" t="n">
        <f aca="false">$S84*(1/X84)*(1/Z84)</f>
        <v>0</v>
      </c>
      <c r="AR84" s="50" t="n">
        <f aca="false">$S84*(1/X84)*(1/Z84)*(1/AB84)</f>
        <v>0</v>
      </c>
      <c r="AS84" s="50" t="n">
        <f aca="false">$S84*(1/X84)*(1/Z84)*(1/AB84)*(1/AD84)</f>
        <v>0</v>
      </c>
      <c r="AT84" s="51" t="n">
        <f aca="false">$S84*(1/X84)*(1/Z84)*(1/AB84)*(1/AD84)*(1/AF84)</f>
        <v>0</v>
      </c>
      <c r="AU84" s="50" t="n">
        <f aca="false">$S84*(1/X84)*(1/Z84)*(1/AB84)*(1/AD84)*(1/AF84)*(1/AH84)</f>
        <v>0</v>
      </c>
      <c r="AX84" s="50" t="n">
        <f aca="false">AO84</f>
        <v>0</v>
      </c>
      <c r="AY84" s="50" t="n">
        <f aca="false">AX84*(1/Y84)</f>
        <v>0</v>
      </c>
      <c r="AZ84" s="50" t="n">
        <f aca="false">AY84*(1/AA84)</f>
        <v>0</v>
      </c>
      <c r="BA84" s="50" t="n">
        <f aca="false">AZ84*(1/AC84)</f>
        <v>0</v>
      </c>
      <c r="BB84" s="50" t="n">
        <f aca="false">BA84*(1/AE84)</f>
        <v>0</v>
      </c>
      <c r="BC84" s="50" t="n">
        <f aca="false">BB84*(1/AG84)</f>
        <v>0</v>
      </c>
      <c r="BD84" s="66" t="n">
        <f aca="false">BC84*(1/AI84)</f>
        <v>0</v>
      </c>
      <c r="BF84" s="36" t="s">
        <v>308</v>
      </c>
    </row>
    <row r="85" customFormat="false" ht="15.75" hidden="false" customHeight="true" outlineLevel="0" collapsed="false">
      <c r="B85" s="88" t="s">
        <v>309</v>
      </c>
      <c r="C85" s="23" t="n">
        <v>62147</v>
      </c>
      <c r="D85" s="23" t="s">
        <v>229</v>
      </c>
      <c r="E85" s="37" t="n">
        <v>3.14028E-006</v>
      </c>
      <c r="F85" s="37" t="s">
        <v>310</v>
      </c>
      <c r="G85" s="37" t="s">
        <v>311</v>
      </c>
      <c r="H85" s="41" t="s">
        <v>312</v>
      </c>
      <c r="I85" s="59"/>
      <c r="J85" s="27"/>
      <c r="K85" s="28" t="n">
        <v>38</v>
      </c>
      <c r="L85" s="28"/>
      <c r="M85" s="29" t="n">
        <f aca="false">IF(ISNUMBER(BG85),BG85,"")</f>
        <v>3.363968320128E+018</v>
      </c>
      <c r="N85" s="29" t="n">
        <f aca="false">IF(ISNUMBER(M85),LN(2)/M85,0)</f>
        <v>2.06050448338815E-019</v>
      </c>
      <c r="O85" s="31" t="n">
        <f aca="false">10^-24</f>
        <v>1E-024</v>
      </c>
      <c r="P85" s="31" t="n">
        <f aca="false">PI()*$K$97^2*$K$98</f>
        <v>13978830.6714131</v>
      </c>
      <c r="Q85" s="32" t="n">
        <f aca="false">E85/O85</f>
        <v>3.14028E+018</v>
      </c>
      <c r="R85" s="32" t="n">
        <f aca="false">Q85*P85</f>
        <v>4.38974423808253E+025</v>
      </c>
      <c r="S85" s="44" t="n">
        <f aca="false">R85*N85</f>
        <v>9045087.68349635</v>
      </c>
      <c r="T85" s="44" t="n">
        <f aca="false">S85*0.000000000027</f>
        <v>0.000244217367454402</v>
      </c>
      <c r="U85" s="32" t="str">
        <f aca="false">D85</f>
        <v>Isot tierras raras</v>
      </c>
      <c r="V85" s="56" t="n">
        <v>3E-005</v>
      </c>
      <c r="W85" s="56" t="n">
        <v>8E-005</v>
      </c>
      <c r="X85" s="38" t="n">
        <v>1</v>
      </c>
      <c r="Y85" s="38" t="n">
        <v>1</v>
      </c>
      <c r="Z85" s="38" t="n">
        <v>100</v>
      </c>
      <c r="AA85" s="38" t="n">
        <v>50</v>
      </c>
      <c r="AB85" s="38" t="n">
        <v>10000000</v>
      </c>
      <c r="AC85" s="38" t="n">
        <v>2000000</v>
      </c>
      <c r="AD85" s="38" t="n">
        <v>100</v>
      </c>
      <c r="AE85" s="38" t="n">
        <v>30</v>
      </c>
      <c r="AF85" s="38" t="n">
        <v>100</v>
      </c>
      <c r="AG85" s="38" t="n">
        <v>100</v>
      </c>
      <c r="AH85" s="38" t="n">
        <v>10</v>
      </c>
      <c r="AI85" s="38" t="n">
        <v>2</v>
      </c>
      <c r="AJ85" s="49" t="n">
        <f aca="false">$S85*(1/X85)*(1/Z85)*(1/AB85)*(1/AD85)*(1/AF85)</f>
        <v>9.04508768349636E-007</v>
      </c>
      <c r="AK85" s="49" t="n">
        <f aca="false">$S85*(1/Y85)*(1/AA85)*(1/AC85)*(1/AE85)*(1/AG85)</f>
        <v>3.01502922783212E-005</v>
      </c>
      <c r="AL85" s="49" t="n">
        <f aca="false">AK85*0.000000000027</f>
        <v>8.14057891514672E-016</v>
      </c>
      <c r="AM85" s="49" t="str">
        <f aca="false">B85</f>
        <v>Sm-147</v>
      </c>
      <c r="AO85" s="50" t="n">
        <f aca="false">$S85</f>
        <v>9045087.68349635</v>
      </c>
      <c r="AP85" s="50" t="n">
        <f aca="false">$S85*(1/X85)</f>
        <v>9045087.68349635</v>
      </c>
      <c r="AQ85" s="50" t="n">
        <f aca="false">$S85*(1/X85)*(1/Z85)</f>
        <v>90450.8768349636</v>
      </c>
      <c r="AR85" s="50" t="n">
        <f aca="false">$S85*(1/X85)*(1/Z85)*(1/AB85)</f>
        <v>0.00904508768349636</v>
      </c>
      <c r="AS85" s="50" t="n">
        <f aca="false">$S85*(1/X85)*(1/Z85)*(1/AB85)*(1/AD85)</f>
        <v>9.04508768349636E-005</v>
      </c>
      <c r="AT85" s="51" t="n">
        <f aca="false">$S85*(1/X85)*(1/Z85)*(1/AB85)*(1/AD85)*(1/AF85)</f>
        <v>9.04508768349636E-007</v>
      </c>
      <c r="AU85" s="50" t="n">
        <f aca="false">$S85*(1/X85)*(1/Z85)*(1/AB85)*(1/AD85)*(1/AF85)*(1/AH85)</f>
        <v>9.04508768349636E-008</v>
      </c>
      <c r="AX85" s="50" t="n">
        <f aca="false">AO85</f>
        <v>9045087.68349635</v>
      </c>
      <c r="AY85" s="50" t="n">
        <f aca="false">AX85*(1/Y85)</f>
        <v>9045087.68349635</v>
      </c>
      <c r="AZ85" s="50" t="n">
        <f aca="false">AY85*(1/AA85)</f>
        <v>180901.753669927</v>
      </c>
      <c r="BA85" s="50" t="n">
        <f aca="false">AZ85*(1/AC85)</f>
        <v>0.0904508768349635</v>
      </c>
      <c r="BB85" s="50" t="n">
        <f aca="false">BA85*(1/AE85)</f>
        <v>0.00301502922783212</v>
      </c>
      <c r="BC85" s="50" t="n">
        <f aca="false">BB85*(1/AG85)</f>
        <v>3.01502922783212E-005</v>
      </c>
      <c r="BD85" s="66" t="n">
        <f aca="false">BC85*(1/AI85)</f>
        <v>1.50751461391606E-005</v>
      </c>
      <c r="BF85" s="36" t="s">
        <v>313</v>
      </c>
      <c r="BG85" s="0" t="n">
        <v>3.363968320128E+018</v>
      </c>
      <c r="BH85" s="36" t="s">
        <v>314</v>
      </c>
    </row>
    <row r="86" customFormat="false" ht="15.75" hidden="false" customHeight="true" outlineLevel="0" collapsed="false">
      <c r="B86" s="88" t="s">
        <v>315</v>
      </c>
      <c r="C86" s="23" t="n">
        <v>62149</v>
      </c>
      <c r="D86" s="23" t="s">
        <v>229</v>
      </c>
      <c r="E86" s="37" t="n">
        <v>3.24339E-007</v>
      </c>
      <c r="F86" s="37"/>
      <c r="G86" s="37" t="s">
        <v>316</v>
      </c>
      <c r="H86" s="41" t="s">
        <v>317</v>
      </c>
      <c r="I86" s="59"/>
      <c r="J86" s="27"/>
      <c r="K86" s="28" t="n">
        <v>1.7</v>
      </c>
      <c r="L86" s="28"/>
      <c r="M86" s="29" t="str">
        <f aca="false">IF(ISNUMBER(BG86),BG86,"")</f>
        <v/>
      </c>
      <c r="N86" s="29" t="n">
        <f aca="false">IF(ISNUMBER(M86),LN(2)/M86,0)</f>
        <v>0</v>
      </c>
      <c r="O86" s="31" t="n">
        <f aca="false">10^-24</f>
        <v>1E-024</v>
      </c>
      <c r="P86" s="31" t="n">
        <f aca="false">PI()*$K$97^2*$K$98</f>
        <v>13978830.6714131</v>
      </c>
      <c r="Q86" s="32" t="n">
        <f aca="false">E86/O86</f>
        <v>3.24339E+017</v>
      </c>
      <c r="R86" s="32" t="n">
        <f aca="false">Q86*P86</f>
        <v>4.53387996113547E+024</v>
      </c>
      <c r="S86" s="44" t="n">
        <f aca="false">R86*N86</f>
        <v>0</v>
      </c>
      <c r="T86" s="44" t="n">
        <f aca="false">S86*0.000000000027</f>
        <v>0</v>
      </c>
      <c r="U86" s="32" t="str">
        <f aca="false">D86</f>
        <v>Isot tierras raras</v>
      </c>
      <c r="V86" s="56" t="n">
        <v>3E-005</v>
      </c>
      <c r="W86" s="56" t="n">
        <v>8E-005</v>
      </c>
      <c r="X86" s="38" t="n">
        <v>1</v>
      </c>
      <c r="Y86" s="38" t="n">
        <v>1</v>
      </c>
      <c r="Z86" s="38" t="n">
        <v>100</v>
      </c>
      <c r="AA86" s="38" t="n">
        <v>50</v>
      </c>
      <c r="AB86" s="38" t="n">
        <v>10000000</v>
      </c>
      <c r="AC86" s="38" t="n">
        <v>2000000</v>
      </c>
      <c r="AD86" s="38" t="n">
        <v>100</v>
      </c>
      <c r="AE86" s="38" t="n">
        <v>30</v>
      </c>
      <c r="AF86" s="38" t="n">
        <v>100</v>
      </c>
      <c r="AG86" s="38" t="n">
        <v>100</v>
      </c>
      <c r="AH86" s="38" t="n">
        <v>10</v>
      </c>
      <c r="AI86" s="38" t="n">
        <v>2</v>
      </c>
      <c r="AJ86" s="49" t="n">
        <f aca="false">$S86*(1/X86)*(1/Z86)*(1/AB86)*(1/AD86)*(1/AF86)</f>
        <v>0</v>
      </c>
      <c r="AK86" s="49" t="n">
        <f aca="false">$S86*(1/Y86)*(1/AA86)*(1/AC86)*(1/AE86)*(1/AG86)</f>
        <v>0</v>
      </c>
      <c r="AL86" s="49" t="n">
        <f aca="false">AK86*0.000000000027</f>
        <v>0</v>
      </c>
      <c r="AM86" s="49" t="str">
        <f aca="false">B86</f>
        <v>Sm-149</v>
      </c>
      <c r="AO86" s="50" t="n">
        <f aca="false">$S86</f>
        <v>0</v>
      </c>
      <c r="AP86" s="50" t="n">
        <f aca="false">$S86*(1/X86)</f>
        <v>0</v>
      </c>
      <c r="AQ86" s="50" t="n">
        <f aca="false">$S86*(1/X86)*(1/Z86)</f>
        <v>0</v>
      </c>
      <c r="AR86" s="50" t="n">
        <f aca="false">$S86*(1/X86)*(1/Z86)*(1/AB86)</f>
        <v>0</v>
      </c>
      <c r="AS86" s="50" t="n">
        <f aca="false">$S86*(1/X86)*(1/Z86)*(1/AB86)*(1/AD86)</f>
        <v>0</v>
      </c>
      <c r="AT86" s="51" t="n">
        <f aca="false">$S86*(1/X86)*(1/Z86)*(1/AB86)*(1/AD86)*(1/AF86)</f>
        <v>0</v>
      </c>
      <c r="AU86" s="50" t="n">
        <f aca="false">$S86*(1/X86)*(1/Z86)*(1/AB86)*(1/AD86)*(1/AF86)*(1/AH86)</f>
        <v>0</v>
      </c>
      <c r="AX86" s="50" t="n">
        <f aca="false">AO86</f>
        <v>0</v>
      </c>
      <c r="AY86" s="50" t="n">
        <f aca="false">AX86*(1/Y86)</f>
        <v>0</v>
      </c>
      <c r="AZ86" s="50" t="n">
        <f aca="false">AY86*(1/AA86)</f>
        <v>0</v>
      </c>
      <c r="BA86" s="50" t="n">
        <f aca="false">AZ86*(1/AC86)</f>
        <v>0</v>
      </c>
      <c r="BB86" s="50" t="n">
        <f aca="false">BA86*(1/AE86)</f>
        <v>0</v>
      </c>
      <c r="BC86" s="50" t="n">
        <f aca="false">BB86*(1/AG86)</f>
        <v>0</v>
      </c>
      <c r="BD86" s="66" t="n">
        <f aca="false">BC86*(1/AI86)</f>
        <v>0</v>
      </c>
      <c r="BF86" s="36" t="s">
        <v>54</v>
      </c>
      <c r="BH86" s="36" t="s">
        <v>318</v>
      </c>
    </row>
    <row r="87" customFormat="false" ht="15.75" hidden="false" customHeight="true" outlineLevel="0" collapsed="false">
      <c r="B87" s="88" t="s">
        <v>319</v>
      </c>
      <c r="C87" s="23" t="n">
        <v>62150</v>
      </c>
      <c r="D87" s="23" t="s">
        <v>229</v>
      </c>
      <c r="E87" s="37" t="n">
        <v>2.42831E-005</v>
      </c>
      <c r="F87" s="37"/>
      <c r="G87" s="37" t="s">
        <v>53</v>
      </c>
      <c r="H87" s="41" t="s">
        <v>320</v>
      </c>
      <c r="I87" s="59"/>
      <c r="J87" s="27"/>
      <c r="K87" s="28" t="n">
        <v>18.5</v>
      </c>
      <c r="L87" s="28"/>
      <c r="M87" s="29" t="str">
        <f aca="false">IF(ISNUMBER(BG87),BG87,"")</f>
        <v/>
      </c>
      <c r="N87" s="29" t="n">
        <f aca="false">IF(ISNUMBER(M87),LN(2)/M87,0)</f>
        <v>0</v>
      </c>
      <c r="O87" s="31" t="n">
        <f aca="false">10^-24</f>
        <v>1E-024</v>
      </c>
      <c r="P87" s="31" t="n">
        <f aca="false">PI()*$K$97^2*$K$98</f>
        <v>13978830.6714131</v>
      </c>
      <c r="Q87" s="32" t="n">
        <f aca="false">E87/O87</f>
        <v>2.42831E+019</v>
      </c>
      <c r="R87" s="32" t="n">
        <f aca="false">Q87*P87</f>
        <v>3.39449343076993E+026</v>
      </c>
      <c r="S87" s="44" t="n">
        <f aca="false">R87*N87</f>
        <v>0</v>
      </c>
      <c r="T87" s="44" t="n">
        <f aca="false">S87*0.000000000027</f>
        <v>0</v>
      </c>
      <c r="U87" s="32" t="str">
        <f aca="false">D87</f>
        <v>Isot tierras raras</v>
      </c>
      <c r="V87" s="56" t="n">
        <v>3E-005</v>
      </c>
      <c r="W87" s="56" t="n">
        <v>8E-005</v>
      </c>
      <c r="X87" s="38" t="n">
        <v>1</v>
      </c>
      <c r="Y87" s="38" t="n">
        <v>1</v>
      </c>
      <c r="Z87" s="38" t="n">
        <v>100</v>
      </c>
      <c r="AA87" s="38" t="n">
        <v>50</v>
      </c>
      <c r="AB87" s="38" t="n">
        <v>10000000</v>
      </c>
      <c r="AC87" s="38" t="n">
        <v>2000000</v>
      </c>
      <c r="AD87" s="38" t="n">
        <v>100</v>
      </c>
      <c r="AE87" s="38" t="n">
        <v>30</v>
      </c>
      <c r="AF87" s="38" t="n">
        <v>100</v>
      </c>
      <c r="AG87" s="38" t="n">
        <v>100</v>
      </c>
      <c r="AH87" s="38" t="n">
        <v>10</v>
      </c>
      <c r="AI87" s="38" t="n">
        <v>2</v>
      </c>
      <c r="AJ87" s="49" t="n">
        <f aca="false">$S87*(1/X87)*(1/Z87)*(1/AB87)*(1/AD87)*(1/AF87)</f>
        <v>0</v>
      </c>
      <c r="AK87" s="49" t="n">
        <f aca="false">$S87*(1/Y87)*(1/AA87)*(1/AC87)*(1/AE87)*(1/AG87)</f>
        <v>0</v>
      </c>
      <c r="AL87" s="49" t="n">
        <f aca="false">AK87*0.000000000027</f>
        <v>0</v>
      </c>
      <c r="AM87" s="49" t="str">
        <f aca="false">B87</f>
        <v>Sm-150</v>
      </c>
      <c r="AO87" s="50" t="n">
        <f aca="false">$S87</f>
        <v>0</v>
      </c>
      <c r="AP87" s="50" t="n">
        <f aca="false">$S87*(1/X87)</f>
        <v>0</v>
      </c>
      <c r="AQ87" s="50" t="n">
        <f aca="false">$S87*(1/X87)*(1/Z87)</f>
        <v>0</v>
      </c>
      <c r="AR87" s="50" t="n">
        <f aca="false">$S87*(1/X87)*(1/Z87)*(1/AB87)</f>
        <v>0</v>
      </c>
      <c r="AS87" s="50" t="n">
        <f aca="false">$S87*(1/X87)*(1/Z87)*(1/AB87)*(1/AD87)</f>
        <v>0</v>
      </c>
      <c r="AT87" s="51" t="n">
        <f aca="false">$S87*(1/X87)*(1/Z87)*(1/AB87)*(1/AD87)*(1/AF87)</f>
        <v>0</v>
      </c>
      <c r="AU87" s="50" t="n">
        <f aca="false">$S87*(1/X87)*(1/Z87)*(1/AB87)*(1/AD87)*(1/AF87)*(1/AH87)</f>
        <v>0</v>
      </c>
      <c r="AX87" s="50" t="n">
        <f aca="false">AO87</f>
        <v>0</v>
      </c>
      <c r="AY87" s="50" t="n">
        <f aca="false">AX87*(1/Y87)</f>
        <v>0</v>
      </c>
      <c r="AZ87" s="50" t="n">
        <f aca="false">AY87*(1/AA87)</f>
        <v>0</v>
      </c>
      <c r="BA87" s="50" t="n">
        <f aca="false">AZ87*(1/AC87)</f>
        <v>0</v>
      </c>
      <c r="BB87" s="50" t="n">
        <f aca="false">BA87*(1/AE87)</f>
        <v>0</v>
      </c>
      <c r="BC87" s="50" t="n">
        <f aca="false">BB87*(1/AG87)</f>
        <v>0</v>
      </c>
      <c r="BD87" s="66" t="n">
        <f aca="false">BC87*(1/AI87)</f>
        <v>0</v>
      </c>
      <c r="BF87" s="36" t="s">
        <v>54</v>
      </c>
      <c r="BH87" s="36" t="s">
        <v>321</v>
      </c>
    </row>
    <row r="88" customFormat="false" ht="15.75" hidden="false" customHeight="true" outlineLevel="0" collapsed="false">
      <c r="B88" s="88" t="s">
        <v>322</v>
      </c>
      <c r="C88" s="23" t="n">
        <v>62151</v>
      </c>
      <c r="D88" s="23" t="s">
        <v>229</v>
      </c>
      <c r="E88" s="37" t="n">
        <v>1.86627E-006</v>
      </c>
      <c r="F88" s="37"/>
      <c r="G88" s="37" t="s">
        <v>323</v>
      </c>
      <c r="H88" s="41" t="s">
        <v>269</v>
      </c>
      <c r="I88" s="59"/>
      <c r="J88" s="27"/>
      <c r="K88" s="28"/>
      <c r="L88" s="28" t="n">
        <v>1</v>
      </c>
      <c r="M88" s="29" t="n">
        <f aca="false">IF(ISNUMBER(BG88),BG88,"")</f>
        <v>2985285207.168</v>
      </c>
      <c r="N88" s="29" t="n">
        <f aca="false">IF(ISNUMBER(M88),LN(2)/M88,0)</f>
        <v>2.32187925929363E-010</v>
      </c>
      <c r="O88" s="31" t="n">
        <f aca="false">10^-24</f>
        <v>1E-024</v>
      </c>
      <c r="P88" s="31" t="n">
        <f aca="false">PI()*$K$97^2*$K$98</f>
        <v>13978830.6714131</v>
      </c>
      <c r="Q88" s="32" t="n">
        <f aca="false">E88/O88</f>
        <v>1.86627E+018</v>
      </c>
      <c r="R88" s="32" t="n">
        <f aca="false">Q88*P88</f>
        <v>2.60882723171382E+025</v>
      </c>
      <c r="S88" s="44" t="n">
        <f aca="false">R88*N88</f>
        <v>6057381840396726</v>
      </c>
      <c r="T88" s="44" t="n">
        <f aca="false">S88*0.000000000027</f>
        <v>163549.309690712</v>
      </c>
      <c r="U88" s="32" t="str">
        <f aca="false">D88</f>
        <v>Isot tierras raras</v>
      </c>
      <c r="V88" s="56" t="n">
        <v>3E-005</v>
      </c>
      <c r="W88" s="56" t="n">
        <v>8E-005</v>
      </c>
      <c r="X88" s="38" t="n">
        <v>1</v>
      </c>
      <c r="Y88" s="38" t="n">
        <v>1</v>
      </c>
      <c r="Z88" s="38" t="n">
        <v>100</v>
      </c>
      <c r="AA88" s="38" t="n">
        <v>50</v>
      </c>
      <c r="AB88" s="38" t="n">
        <v>10000000</v>
      </c>
      <c r="AC88" s="38" t="n">
        <v>2000000</v>
      </c>
      <c r="AD88" s="38" t="n">
        <v>100</v>
      </c>
      <c r="AE88" s="38" t="n">
        <v>30</v>
      </c>
      <c r="AF88" s="38" t="n">
        <v>100</v>
      </c>
      <c r="AG88" s="38" t="n">
        <v>100</v>
      </c>
      <c r="AH88" s="38" t="n">
        <v>10</v>
      </c>
      <c r="AI88" s="38" t="n">
        <v>2</v>
      </c>
      <c r="AJ88" s="49" t="n">
        <f aca="false">$S88*(1/X88)*(1/Z88)*(1/AB88)*(1/AD88)*(1/AF88)</f>
        <v>605.738184039673</v>
      </c>
      <c r="AK88" s="49" t="n">
        <f aca="false">$S88*(1/Y88)*(1/AA88)*(1/AC88)*(1/AE88)*(1/AG88)</f>
        <v>20191.2728013224</v>
      </c>
      <c r="AL88" s="49" t="n">
        <f aca="false">AK88*0.000000000027</f>
        <v>5.45164365635705E-007</v>
      </c>
      <c r="AM88" s="49" t="str">
        <f aca="false">B88</f>
        <v>Sm-151</v>
      </c>
      <c r="AO88" s="50" t="n">
        <f aca="false">$S88</f>
        <v>6057381840396726</v>
      </c>
      <c r="AP88" s="50" t="n">
        <f aca="false">$S88*(1/X88)</f>
        <v>6057381840396726</v>
      </c>
      <c r="AQ88" s="50" t="n">
        <f aca="false">$S88*(1/X88)*(1/Z88)</f>
        <v>60573818403967.3</v>
      </c>
      <c r="AR88" s="50" t="n">
        <f aca="false">$S88*(1/X88)*(1/Z88)*(1/AB88)</f>
        <v>6057381.84039673</v>
      </c>
      <c r="AS88" s="50" t="n">
        <f aca="false">$S88*(1/X88)*(1/Z88)*(1/AB88)*(1/AD88)</f>
        <v>60573.8184039673</v>
      </c>
      <c r="AT88" s="51" t="n">
        <f aca="false">$S88*(1/X88)*(1/Z88)*(1/AB88)*(1/AD88)*(1/AF88)</f>
        <v>605.738184039673</v>
      </c>
      <c r="AU88" s="50" t="n">
        <f aca="false">$S88*(1/X88)*(1/Z88)*(1/AB88)*(1/AD88)*(1/AF88)*(1/AH88)</f>
        <v>60.5738184039673</v>
      </c>
      <c r="AX88" s="50" t="n">
        <f aca="false">AO88</f>
        <v>6057381840396726</v>
      </c>
      <c r="AY88" s="50" t="n">
        <f aca="false">AX88*(1/Y88)</f>
        <v>6057381840396726</v>
      </c>
      <c r="AZ88" s="50" t="n">
        <f aca="false">AY88*(1/AA88)</f>
        <v>121147636807935</v>
      </c>
      <c r="BA88" s="50" t="n">
        <f aca="false">AZ88*(1/AC88)</f>
        <v>60573818.4039673</v>
      </c>
      <c r="BB88" s="50" t="n">
        <f aca="false">BA88*(1/AE88)</f>
        <v>2019127.28013224</v>
      </c>
      <c r="BC88" s="50" t="n">
        <f aca="false">BB88*(1/AG88)</f>
        <v>20191.2728013224</v>
      </c>
      <c r="BD88" s="66" t="n">
        <f aca="false">BC88*(1/AI88)</f>
        <v>10095.6364006612</v>
      </c>
      <c r="BF88" s="36" t="s">
        <v>324</v>
      </c>
      <c r="BG88" s="0" t="n">
        <v>2985285207.168</v>
      </c>
      <c r="BH88" s="36" t="s">
        <v>325</v>
      </c>
    </row>
    <row r="89" customFormat="false" ht="15.75" hidden="false" customHeight="true" outlineLevel="0" collapsed="false">
      <c r="B89" s="88" t="s">
        <v>326</v>
      </c>
      <c r="C89" s="23" t="n">
        <v>62152</v>
      </c>
      <c r="D89" s="23" t="s">
        <v>229</v>
      </c>
      <c r="E89" s="37" t="n">
        <v>1.06573E-005</v>
      </c>
      <c r="F89" s="37"/>
      <c r="G89" s="37" t="s">
        <v>53</v>
      </c>
      <c r="H89" s="41" t="s">
        <v>327</v>
      </c>
      <c r="I89" s="59"/>
      <c r="J89" s="27"/>
      <c r="K89" s="28" t="n">
        <v>4.8</v>
      </c>
      <c r="L89" s="28"/>
      <c r="M89" s="29" t="str">
        <f aca="false">IF(ISNUMBER(BG89),BG89,"")</f>
        <v/>
      </c>
      <c r="N89" s="29" t="n">
        <f aca="false">IF(ISNUMBER(M89),LN(2)/M89,0)</f>
        <v>0</v>
      </c>
      <c r="O89" s="31" t="n">
        <f aca="false">10^-24</f>
        <v>1E-024</v>
      </c>
      <c r="P89" s="31" t="n">
        <f aca="false">PI()*$K$97^2*$K$98</f>
        <v>13978830.6714131</v>
      </c>
      <c r="Q89" s="32" t="n">
        <f aca="false">E89/O89</f>
        <v>1.06573E+019</v>
      </c>
      <c r="R89" s="32" t="n">
        <f aca="false">Q89*P89</f>
        <v>1.48976592114451E+026</v>
      </c>
      <c r="S89" s="44" t="n">
        <f aca="false">R89*N89</f>
        <v>0</v>
      </c>
      <c r="T89" s="44" t="n">
        <f aca="false">S89*0.000000000027</f>
        <v>0</v>
      </c>
      <c r="U89" s="32" t="str">
        <f aca="false">D89</f>
        <v>Isot tierras raras</v>
      </c>
      <c r="V89" s="46" t="n">
        <v>3E-005</v>
      </c>
      <c r="W89" s="46" t="n">
        <v>8E-005</v>
      </c>
      <c r="X89" s="38" t="n">
        <v>1</v>
      </c>
      <c r="Y89" s="38" t="n">
        <v>1</v>
      </c>
      <c r="Z89" s="38" t="n">
        <v>100</v>
      </c>
      <c r="AA89" s="38" t="n">
        <v>50</v>
      </c>
      <c r="AB89" s="38" t="n">
        <v>10000000</v>
      </c>
      <c r="AC89" s="38" t="n">
        <v>2000000</v>
      </c>
      <c r="AD89" s="38" t="n">
        <v>100</v>
      </c>
      <c r="AE89" s="38" t="n">
        <v>30</v>
      </c>
      <c r="AF89" s="38" t="n">
        <v>100</v>
      </c>
      <c r="AG89" s="38" t="n">
        <v>100</v>
      </c>
      <c r="AH89" s="38" t="n">
        <v>10</v>
      </c>
      <c r="AI89" s="38" t="n">
        <v>2</v>
      </c>
      <c r="AJ89" s="49" t="n">
        <f aca="false">$S89*(1/X89)*(1/Z89)*(1/AB89)*(1/AD89)*(1/AF89)</f>
        <v>0</v>
      </c>
      <c r="AK89" s="49" t="n">
        <f aca="false">$S89*(1/Y89)*(1/AA89)*(1/AC89)*(1/AE89)*(1/AG89)</f>
        <v>0</v>
      </c>
      <c r="AL89" s="49" t="n">
        <f aca="false">AK89*0.000000000027</f>
        <v>0</v>
      </c>
      <c r="AM89" s="49" t="str">
        <f aca="false">B89</f>
        <v>Sm-152</v>
      </c>
      <c r="AO89" s="50" t="n">
        <f aca="false">$S89</f>
        <v>0</v>
      </c>
      <c r="AP89" s="50" t="n">
        <f aca="false">$S89*(1/X89)</f>
        <v>0</v>
      </c>
      <c r="AQ89" s="50" t="n">
        <f aca="false">$S89*(1/X89)*(1/Z89)</f>
        <v>0</v>
      </c>
      <c r="AR89" s="50" t="n">
        <f aca="false">$S89*(1/X89)*(1/Z89)*(1/AB89)</f>
        <v>0</v>
      </c>
      <c r="AS89" s="50" t="n">
        <f aca="false">$S89*(1/X89)*(1/Z89)*(1/AB89)*(1/AD89)</f>
        <v>0</v>
      </c>
      <c r="AT89" s="51" t="n">
        <f aca="false">$S89*(1/X89)*(1/Z89)*(1/AB89)*(1/AD89)*(1/AF89)</f>
        <v>0</v>
      </c>
      <c r="AU89" s="50" t="n">
        <f aca="false">$S89*(1/X89)*(1/Z89)*(1/AB89)*(1/AD89)*(1/AF89)*(1/AH89)</f>
        <v>0</v>
      </c>
      <c r="AX89" s="50" t="n">
        <f aca="false">AO89</f>
        <v>0</v>
      </c>
      <c r="AY89" s="50" t="n">
        <f aca="false">AX89*(1/Y89)</f>
        <v>0</v>
      </c>
      <c r="AZ89" s="50" t="n">
        <f aca="false">AY89*(1/AA89)</f>
        <v>0</v>
      </c>
      <c r="BA89" s="50" t="n">
        <f aca="false">AZ89*(1/AC89)</f>
        <v>0</v>
      </c>
      <c r="BB89" s="50" t="n">
        <f aca="false">BA89*(1/AE89)</f>
        <v>0</v>
      </c>
      <c r="BC89" s="50" t="n">
        <f aca="false">BB89*(1/AG89)</f>
        <v>0</v>
      </c>
      <c r="BD89" s="66" t="n">
        <f aca="false">BC89*(1/AI89)</f>
        <v>0</v>
      </c>
      <c r="BF89" s="36" t="s">
        <v>54</v>
      </c>
      <c r="BH89" s="36" t="s">
        <v>328</v>
      </c>
    </row>
    <row r="90" customFormat="false" ht="15.75" hidden="false" customHeight="true" outlineLevel="0" collapsed="false">
      <c r="B90" s="88" t="s">
        <v>329</v>
      </c>
      <c r="C90" s="23" t="n">
        <v>63153</v>
      </c>
      <c r="D90" s="23" t="s">
        <v>229</v>
      </c>
      <c r="E90" s="37" t="n">
        <v>1.08169E-005</v>
      </c>
      <c r="F90" s="37"/>
      <c r="G90" s="37" t="s">
        <v>330</v>
      </c>
      <c r="H90" s="41" t="s">
        <v>331</v>
      </c>
      <c r="I90" s="59"/>
      <c r="J90" s="27"/>
      <c r="K90" s="28"/>
      <c r="L90" s="28" t="n">
        <v>2.1</v>
      </c>
      <c r="M90" s="29" t="str">
        <f aca="false">IF(ISNUMBER(BG90),BG90,"")</f>
        <v/>
      </c>
      <c r="N90" s="29" t="n">
        <f aca="false">IF(ISNUMBER(M90),LN(2)/M90,0)</f>
        <v>0</v>
      </c>
      <c r="O90" s="31" t="n">
        <f aca="false">10^-24</f>
        <v>1E-024</v>
      </c>
      <c r="P90" s="31" t="n">
        <f aca="false">PI()*$K$97^2*$K$98</f>
        <v>13978830.6714131</v>
      </c>
      <c r="Q90" s="32" t="n">
        <f aca="false">E90/O90</f>
        <v>1.08169E+019</v>
      </c>
      <c r="R90" s="32" t="n">
        <f aca="false">Q90*P90</f>
        <v>1.51207613489609E+026</v>
      </c>
      <c r="S90" s="44" t="n">
        <f aca="false">R90*N90</f>
        <v>0</v>
      </c>
      <c r="T90" s="44" t="n">
        <f aca="false">S90*0.000000000027</f>
        <v>0</v>
      </c>
      <c r="U90" s="32" t="str">
        <f aca="false">D90</f>
        <v>Isot tierras raras</v>
      </c>
      <c r="V90" s="46" t="n">
        <v>3E-005</v>
      </c>
      <c r="W90" s="46" t="n">
        <v>8E-005</v>
      </c>
      <c r="X90" s="38" t="n">
        <v>1</v>
      </c>
      <c r="Y90" s="38" t="n">
        <v>1</v>
      </c>
      <c r="Z90" s="38" t="n">
        <v>100</v>
      </c>
      <c r="AA90" s="38" t="n">
        <v>50</v>
      </c>
      <c r="AB90" s="38" t="n">
        <v>10000000</v>
      </c>
      <c r="AC90" s="38" t="n">
        <v>2000000</v>
      </c>
      <c r="AD90" s="38" t="n">
        <v>100</v>
      </c>
      <c r="AE90" s="38" t="n">
        <v>30</v>
      </c>
      <c r="AF90" s="38" t="n">
        <v>100</v>
      </c>
      <c r="AG90" s="38" t="n">
        <v>100</v>
      </c>
      <c r="AH90" s="38" t="n">
        <v>10</v>
      </c>
      <c r="AI90" s="38" t="n">
        <v>2</v>
      </c>
      <c r="AJ90" s="49" t="n">
        <f aca="false">$S90*(1/X90)*(1/Z90)*(1/AB90)*(1/AD90)*(1/AF90)</f>
        <v>0</v>
      </c>
      <c r="AK90" s="49" t="n">
        <f aca="false">$S90*(1/Y90)*(1/AA90)*(1/AC90)*(1/AE90)*(1/AG90)</f>
        <v>0</v>
      </c>
      <c r="AL90" s="49" t="n">
        <f aca="false">AK90*0.000000000027</f>
        <v>0</v>
      </c>
      <c r="AM90" s="49" t="str">
        <f aca="false">B90</f>
        <v>Eu-153</v>
      </c>
      <c r="AO90" s="50" t="n">
        <f aca="false">$S90</f>
        <v>0</v>
      </c>
      <c r="AP90" s="50" t="n">
        <f aca="false">$S90*(1/X90)</f>
        <v>0</v>
      </c>
      <c r="AQ90" s="50" t="n">
        <f aca="false">$S90*(1/X90)*(1/Z90)</f>
        <v>0</v>
      </c>
      <c r="AR90" s="50" t="n">
        <f aca="false">$S90*(1/X90)*(1/Z90)*(1/AB90)</f>
        <v>0</v>
      </c>
      <c r="AS90" s="50" t="n">
        <f aca="false">$S90*(1/X90)*(1/Z90)*(1/AB90)*(1/AD90)</f>
        <v>0</v>
      </c>
      <c r="AT90" s="51" t="n">
        <f aca="false">$S90*(1/X90)*(1/Z90)*(1/AB90)*(1/AD90)*(1/AF90)</f>
        <v>0</v>
      </c>
      <c r="AU90" s="50" t="n">
        <f aca="false">$S90*(1/X90)*(1/Z90)*(1/AB90)*(1/AD90)*(1/AF90)*(1/AH90)</f>
        <v>0</v>
      </c>
      <c r="AX90" s="50" t="n">
        <f aca="false">AO90</f>
        <v>0</v>
      </c>
      <c r="AY90" s="50" t="n">
        <f aca="false">AX90*(1/Y90)</f>
        <v>0</v>
      </c>
      <c r="AZ90" s="50" t="n">
        <f aca="false">AY90*(1/AA90)</f>
        <v>0</v>
      </c>
      <c r="BA90" s="50" t="n">
        <f aca="false">AZ90*(1/AC90)</f>
        <v>0</v>
      </c>
      <c r="BB90" s="50" t="n">
        <f aca="false">BA90*(1/AE90)</f>
        <v>0</v>
      </c>
      <c r="BC90" s="50" t="n">
        <f aca="false">BB90*(1/AG90)</f>
        <v>0</v>
      </c>
      <c r="BD90" s="66" t="n">
        <f aca="false">BC90*(1/AI90)</f>
        <v>0</v>
      </c>
      <c r="BF90" s="36" t="s">
        <v>54</v>
      </c>
      <c r="BH90" s="36" t="s">
        <v>332</v>
      </c>
    </row>
    <row r="91" customFormat="false" ht="15.75" hidden="false" customHeight="true" outlineLevel="0" collapsed="false">
      <c r="B91" s="88" t="s">
        <v>333</v>
      </c>
      <c r="C91" s="23" t="n">
        <v>63154</v>
      </c>
      <c r="D91" s="23" t="s">
        <v>212</v>
      </c>
      <c r="E91" s="37" t="n">
        <v>1.93525E-006</v>
      </c>
      <c r="F91" s="37"/>
      <c r="G91" s="37" t="s">
        <v>334</v>
      </c>
      <c r="H91" s="41" t="s">
        <v>335</v>
      </c>
      <c r="I91" s="59"/>
      <c r="J91" s="27"/>
      <c r="K91" s="28"/>
      <c r="L91" s="28" t="n">
        <v>1.8</v>
      </c>
      <c r="M91" s="29" t="n">
        <f aca="false">IF(ISNUMBER(BG91),BG91,"")</f>
        <v>271137108.87936</v>
      </c>
      <c r="N91" s="29" t="n">
        <f aca="false">IF(ISNUMBER(M91),LN(2)/M91,0)</f>
        <v>2.55644527384982E-009</v>
      </c>
      <c r="O91" s="31" t="n">
        <f aca="false">10^-24</f>
        <v>1E-024</v>
      </c>
      <c r="P91" s="31" t="n">
        <f aca="false">PI()*$K$97^2*$K$98</f>
        <v>13978830.6714131</v>
      </c>
      <c r="Q91" s="32" t="n">
        <f aca="false">E91/O91</f>
        <v>1.93525E+018</v>
      </c>
      <c r="R91" s="32" t="n">
        <f aca="false">Q91*P91</f>
        <v>2.70525320568523E+025</v>
      </c>
      <c r="S91" s="44" t="n">
        <f aca="false">R91*N91</f>
        <v>69158317722410900</v>
      </c>
      <c r="T91" s="44" t="n">
        <f aca="false">S91*0.000000000027</f>
        <v>1867274.57850509</v>
      </c>
      <c r="U91" s="32" t="str">
        <f aca="false">D91</f>
        <v>Sr, Ba, Eu</v>
      </c>
      <c r="V91" s="46" t="n">
        <v>3E-005</v>
      </c>
      <c r="W91" s="46" t="n">
        <v>8E-005</v>
      </c>
      <c r="X91" s="38" t="n">
        <v>1</v>
      </c>
      <c r="Y91" s="38" t="n">
        <v>1</v>
      </c>
      <c r="Z91" s="38" t="n">
        <v>1</v>
      </c>
      <c r="AA91" s="38" t="n">
        <v>1</v>
      </c>
      <c r="AB91" s="38" t="n">
        <f aca="false">10^6</f>
        <v>1000000</v>
      </c>
      <c r="AC91" s="38" t="n">
        <f aca="false">200000</f>
        <v>200000</v>
      </c>
      <c r="AD91" s="38" t="n">
        <v>100</v>
      </c>
      <c r="AE91" s="38" t="n">
        <v>30</v>
      </c>
      <c r="AF91" s="38" t="n">
        <v>100</v>
      </c>
      <c r="AG91" s="38" t="n">
        <v>100</v>
      </c>
      <c r="AH91" s="38" t="n">
        <v>10</v>
      </c>
      <c r="AI91" s="38" t="n">
        <v>2</v>
      </c>
      <c r="AJ91" s="49" t="n">
        <f aca="false">$S91*(1/X91)*(1/Z91)*(1/AB91)*(1/AD91)*(1/AF91)*(1/AH91)</f>
        <v>691583.177224109</v>
      </c>
      <c r="AK91" s="49" t="n">
        <f aca="false">$S91*(1/Y91)*(1/AA91)*(1/AC91)*(1/AE91)*(1/AG91)*(1/AI91)</f>
        <v>57631931.4353424</v>
      </c>
      <c r="AL91" s="49" t="n">
        <f aca="false">AK91*0.000000000027</f>
        <v>0.00155606214875425</v>
      </c>
      <c r="AM91" s="49" t="str">
        <f aca="false">B91</f>
        <v>Eu-154</v>
      </c>
      <c r="AO91" s="50" t="n">
        <f aca="false">$S91</f>
        <v>69158317722410900</v>
      </c>
      <c r="AP91" s="50" t="n">
        <f aca="false">$S91*(1/X91)</f>
        <v>69158317722410900</v>
      </c>
      <c r="AQ91" s="50" t="n">
        <f aca="false">$S91*(1/X91)*(1/Z91)</f>
        <v>69158317722410900</v>
      </c>
      <c r="AR91" s="50" t="n">
        <f aca="false">$S91*(1/X91)*(1/Z91)*(1/AB91)</f>
        <v>69158317722.4109</v>
      </c>
      <c r="AS91" s="50" t="n">
        <f aca="false">$S91*(1/X91)*(1/Z91)*(1/AB91)*(1/AD91)</f>
        <v>691583177.224109</v>
      </c>
      <c r="AT91" s="51" t="n">
        <f aca="false">$S91*(1/X91)*(1/Z91)*(1/AB91)*(1/AD91)*(1/AF91)</f>
        <v>6915831.77224109</v>
      </c>
      <c r="AU91" s="50" t="n">
        <f aca="false">$S91*(1/X91)*(1/Z91)*(1/AB91)*(1/AD91)*(1/AF91)*(1/AH91)</f>
        <v>691583.177224109</v>
      </c>
      <c r="AX91" s="50" t="n">
        <f aca="false">AO91</f>
        <v>69158317722410900</v>
      </c>
      <c r="AY91" s="50" t="n">
        <f aca="false">AX91*(1/Y91)</f>
        <v>69158317722410900</v>
      </c>
      <c r="AZ91" s="50" t="n">
        <f aca="false">AY91*(1/AA91)</f>
        <v>69158317722410900</v>
      </c>
      <c r="BA91" s="50" t="n">
        <f aca="false">AZ91*(1/AC91)</f>
        <v>345791588612.055</v>
      </c>
      <c r="BB91" s="50" t="n">
        <f aca="false">BA91*(1/AE91)</f>
        <v>11526386287.0685</v>
      </c>
      <c r="BC91" s="50" t="n">
        <f aca="false">BB91*(1/AG91)</f>
        <v>115263862.870685</v>
      </c>
      <c r="BD91" s="66" t="n">
        <f aca="false">BC91*(1/AI91)</f>
        <v>57631931.4353424</v>
      </c>
      <c r="BF91" s="36" t="s">
        <v>336</v>
      </c>
      <c r="BG91" s="0" t="n">
        <v>271137108.87936</v>
      </c>
      <c r="BH91" s="36" t="s">
        <v>337</v>
      </c>
      <c r="BI91" s="36" t="s">
        <v>338</v>
      </c>
    </row>
    <row r="92" customFormat="false" ht="15.75" hidden="false" customHeight="true" outlineLevel="0" collapsed="false">
      <c r="B92" s="88" t="s">
        <v>339</v>
      </c>
      <c r="C92" s="23" t="n">
        <v>63155</v>
      </c>
      <c r="D92" s="23" t="s">
        <v>212</v>
      </c>
      <c r="E92" s="37" t="n">
        <v>5.7612E-007</v>
      </c>
      <c r="F92" s="37"/>
      <c r="G92" s="37" t="s">
        <v>340</v>
      </c>
      <c r="H92" s="41" t="s">
        <v>288</v>
      </c>
      <c r="I92" s="59"/>
      <c r="J92" s="27"/>
      <c r="K92" s="28"/>
      <c r="L92" s="28" t="n">
        <v>2.3</v>
      </c>
      <c r="M92" s="29" t="n">
        <f aca="false">IF(ISNUMBER(BG92),BG92,"")</f>
        <v>149642943.47136</v>
      </c>
      <c r="N92" s="29" t="n">
        <f aca="false">IF(ISNUMBER(M92),LN(2)/M92,0)</f>
        <v>4.63200712630065E-009</v>
      </c>
      <c r="O92" s="31" t="n">
        <f aca="false">10^-24</f>
        <v>1E-024</v>
      </c>
      <c r="P92" s="31" t="n">
        <f aca="false">PI()*$K$97^2*$K$98</f>
        <v>13978830.6714131</v>
      </c>
      <c r="Q92" s="32" t="n">
        <f aca="false">E92/O92</f>
        <v>5.7612E+017</v>
      </c>
      <c r="R92" s="32" t="n">
        <f aca="false">Q92*P92</f>
        <v>8.05348392641454E+024</v>
      </c>
      <c r="S92" s="44" t="n">
        <f aca="false">R92*N92</f>
        <v>37303794938699900</v>
      </c>
      <c r="T92" s="44" t="n">
        <f aca="false">S92*0.000000000027</f>
        <v>1007202.4633449</v>
      </c>
      <c r="U92" s="32" t="str">
        <f aca="false">D92</f>
        <v>Sr, Ba, Eu</v>
      </c>
      <c r="V92" s="46" t="n">
        <v>3E-005</v>
      </c>
      <c r="W92" s="46" t="n">
        <v>8E-005</v>
      </c>
      <c r="X92" s="38" t="n">
        <v>1</v>
      </c>
      <c r="Y92" s="38" t="n">
        <v>1</v>
      </c>
      <c r="Z92" s="38" t="n">
        <v>1</v>
      </c>
      <c r="AA92" s="38" t="n">
        <v>1</v>
      </c>
      <c r="AB92" s="38" t="n">
        <f aca="false">10^6</f>
        <v>1000000</v>
      </c>
      <c r="AC92" s="38" t="n">
        <f aca="false">200000</f>
        <v>200000</v>
      </c>
      <c r="AD92" s="38" t="n">
        <v>100</v>
      </c>
      <c r="AE92" s="38" t="n">
        <v>30</v>
      </c>
      <c r="AF92" s="38" t="n">
        <v>100</v>
      </c>
      <c r="AG92" s="38" t="n">
        <v>100</v>
      </c>
      <c r="AH92" s="38" t="n">
        <v>10</v>
      </c>
      <c r="AI92" s="38" t="n">
        <v>2</v>
      </c>
      <c r="AJ92" s="49" t="n">
        <f aca="false">$S92*(1/X92)*(1/Z92)*(1/AB92)*(1/AD92)*(1/AF92)*(1/AH92)</f>
        <v>373037.949386999</v>
      </c>
      <c r="AK92" s="49" t="n">
        <f aca="false">$S92*(1/Y92)*(1/AA92)*(1/AC92)*(1/AE92)*(1/AG92)*(1/AI92)</f>
        <v>31086495.7822499</v>
      </c>
      <c r="AL92" s="49" t="n">
        <f aca="false">AK92*0.000000000027</f>
        <v>0.000839335386120748</v>
      </c>
      <c r="AM92" s="49" t="str">
        <f aca="false">B92</f>
        <v>Eu-155</v>
      </c>
      <c r="AO92" s="50" t="n">
        <f aca="false">$S92</f>
        <v>37303794938699900</v>
      </c>
      <c r="AP92" s="50" t="n">
        <f aca="false">$S92*(1/X92)</f>
        <v>37303794938699900</v>
      </c>
      <c r="AQ92" s="50" t="n">
        <f aca="false">$S92*(1/X92)*(1/Z92)</f>
        <v>37303794938699900</v>
      </c>
      <c r="AR92" s="50" t="n">
        <f aca="false">$S92*(1/X92)*(1/Z92)*(1/AB92)</f>
        <v>37303794938.6999</v>
      </c>
      <c r="AS92" s="50" t="n">
        <f aca="false">$S92*(1/X92)*(1/Z92)*(1/AB92)*(1/AD92)</f>
        <v>373037949.386999</v>
      </c>
      <c r="AT92" s="51" t="n">
        <f aca="false">$S92*(1/X92)*(1/Z92)*(1/AB92)*(1/AD92)*(1/AF92)</f>
        <v>3730379.49386999</v>
      </c>
      <c r="AU92" s="50" t="n">
        <f aca="false">$S92*(1/X92)*(1/Z92)*(1/AB92)*(1/AD92)*(1/AF92)*(1/AH92)</f>
        <v>373037.949386999</v>
      </c>
      <c r="AX92" s="50" t="n">
        <f aca="false">AO92</f>
        <v>37303794938699900</v>
      </c>
      <c r="AY92" s="50" t="n">
        <f aca="false">AX92*(1/Y92)</f>
        <v>37303794938699900</v>
      </c>
      <c r="AZ92" s="50" t="n">
        <f aca="false">AY92*(1/AA92)</f>
        <v>37303794938699900</v>
      </c>
      <c r="BA92" s="50" t="n">
        <f aca="false">AZ92*(1/AC92)</f>
        <v>186518974693.5</v>
      </c>
      <c r="BB92" s="50" t="n">
        <f aca="false">BA92*(1/AE92)</f>
        <v>6217299156.44999</v>
      </c>
      <c r="BC92" s="50" t="n">
        <f aca="false">BB92*(1/AG92)</f>
        <v>62172991.5644999</v>
      </c>
      <c r="BD92" s="66" t="n">
        <f aca="false">BC92*(1/AI92)</f>
        <v>31086495.7822499</v>
      </c>
      <c r="BF92" s="36" t="s">
        <v>341</v>
      </c>
      <c r="BG92" s="0" t="n">
        <v>149642943.47136</v>
      </c>
      <c r="BH92" s="36" t="s">
        <v>342</v>
      </c>
      <c r="BI92" s="36" t="s">
        <v>338</v>
      </c>
    </row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>
      <c r="G96" s="0" t="s">
        <v>343</v>
      </c>
      <c r="J96" s="89" t="s">
        <v>344</v>
      </c>
    </row>
    <row r="97" customFormat="false" ht="15.75" hidden="false" customHeight="true" outlineLevel="0" collapsed="false">
      <c r="G97" s="0" t="s">
        <v>87</v>
      </c>
      <c r="J97" s="89" t="s">
        <v>345</v>
      </c>
      <c r="K97" s="89" t="n">
        <v>120</v>
      </c>
    </row>
    <row r="98" customFormat="false" ht="15.75" hidden="false" customHeight="true" outlineLevel="0" collapsed="false">
      <c r="G98" s="0" t="s">
        <v>99</v>
      </c>
      <c r="J98" s="89" t="s">
        <v>346</v>
      </c>
      <c r="K98" s="89" t="n">
        <v>309</v>
      </c>
    </row>
    <row r="99" customFormat="false" ht="15.75" hidden="false" customHeight="true" outlineLevel="0" collapsed="false">
      <c r="G99" s="0" t="s">
        <v>69</v>
      </c>
    </row>
    <row r="100" customFormat="false" ht="15.75" hidden="false" customHeight="true" outlineLevel="0" collapsed="false">
      <c r="G100" s="0" t="s">
        <v>212</v>
      </c>
    </row>
    <row r="101" customFormat="false" ht="15.75" hidden="false" customHeight="true" outlineLevel="0" collapsed="false">
      <c r="G101" s="0" t="s">
        <v>62</v>
      </c>
    </row>
    <row r="102" customFormat="false" ht="15.75" hidden="false" customHeight="true" outlineLevel="0" collapsed="false">
      <c r="G102" s="0" t="s">
        <v>347</v>
      </c>
    </row>
    <row r="103" customFormat="false" ht="15.75" hidden="false" customHeight="true" outlineLevel="0" collapsed="false">
      <c r="G103" s="0" t="s">
        <v>110</v>
      </c>
    </row>
    <row r="104" customFormat="false" ht="15.75" hidden="false" customHeight="true" outlineLevel="0" collapsed="false">
      <c r="G104" s="0" t="s">
        <v>135</v>
      </c>
    </row>
    <row r="105" customFormat="false" ht="15.75" hidden="false" customHeight="true" outlineLevel="0" collapsed="false">
      <c r="G105" s="0" t="s">
        <v>348</v>
      </c>
    </row>
    <row r="106" customFormat="false" ht="15.75" hidden="false" customHeight="true" outlineLevel="0" collapsed="false">
      <c r="N106" s="90"/>
      <c r="O106" s="90"/>
      <c r="P106" s="90"/>
      <c r="Q106" s="91"/>
    </row>
    <row r="107" customFormat="false" ht="15.75" hidden="false" customHeight="true" outlineLevel="0" collapsed="false">
      <c r="N107" s="92"/>
      <c r="O107" s="93"/>
      <c r="P107" s="93"/>
      <c r="Q107" s="94"/>
    </row>
    <row r="108" customFormat="false" ht="15.75" hidden="false" customHeight="true" outlineLevel="0" collapsed="false">
      <c r="N108" s="92"/>
      <c r="O108" s="93"/>
      <c r="P108" s="93"/>
      <c r="Q108" s="94"/>
    </row>
    <row r="109" customFormat="false" ht="15.75" hidden="false" customHeight="true" outlineLevel="0" collapsed="false">
      <c r="N109" s="92"/>
      <c r="O109" s="93"/>
      <c r="P109" s="93"/>
      <c r="Q109" s="94"/>
    </row>
    <row r="110" customFormat="false" ht="15.75" hidden="false" customHeight="true" outlineLevel="0" collapsed="false">
      <c r="N110" s="92"/>
      <c r="O110" s="93"/>
      <c r="P110" s="93"/>
      <c r="Q110" s="94"/>
    </row>
    <row r="111" customFormat="false" ht="15.75" hidden="false" customHeight="true" outlineLevel="0" collapsed="false">
      <c r="N111" s="92"/>
      <c r="O111" s="93"/>
      <c r="P111" s="93"/>
      <c r="Q111" s="94"/>
    </row>
    <row r="112" customFormat="false" ht="15.75" hidden="false" customHeight="true" outlineLevel="0" collapsed="false">
      <c r="N112" s="92"/>
      <c r="O112" s="93"/>
      <c r="P112" s="93"/>
      <c r="Q112" s="94"/>
    </row>
    <row r="113" customFormat="false" ht="15.75" hidden="false" customHeight="true" outlineLevel="0" collapsed="false">
      <c r="N113" s="92"/>
      <c r="O113" s="93"/>
      <c r="P113" s="93"/>
      <c r="Q113" s="94"/>
    </row>
    <row r="114" customFormat="false" ht="15.75" hidden="false" customHeight="true" outlineLevel="0" collapsed="false">
      <c r="N114" s="92"/>
      <c r="O114" s="93"/>
      <c r="P114" s="93"/>
      <c r="Q114" s="94"/>
    </row>
    <row r="115" customFormat="false" ht="15.75" hidden="false" customHeight="true" outlineLevel="0" collapsed="false">
      <c r="N115" s="92"/>
      <c r="O115" s="93"/>
      <c r="P115" s="93"/>
      <c r="Q115" s="94"/>
    </row>
    <row r="116" customFormat="false" ht="15.75" hidden="false" customHeight="true" outlineLevel="0" collapsed="false">
      <c r="N116" s="92"/>
      <c r="O116" s="93"/>
      <c r="P116" s="93"/>
      <c r="Q116" s="94"/>
    </row>
    <row r="117" customFormat="false" ht="15.75" hidden="false" customHeight="true" outlineLevel="0" collapsed="false">
      <c r="N117" s="92"/>
      <c r="O117" s="93"/>
      <c r="P117" s="93"/>
      <c r="Q117" s="94"/>
    </row>
    <row r="118" customFormat="false" ht="15.75" hidden="false" customHeight="true" outlineLevel="0" collapsed="false">
      <c r="N118" s="92"/>
      <c r="O118" s="93"/>
      <c r="P118" s="93"/>
      <c r="Q118" s="92"/>
    </row>
    <row r="119" customFormat="false" ht="15.75" hidden="false" customHeight="true" outlineLevel="0" collapsed="false">
      <c r="N119" s="92"/>
      <c r="O119" s="93"/>
      <c r="P119" s="93"/>
      <c r="Q119" s="94"/>
    </row>
    <row r="120" customFormat="false" ht="15.75" hidden="false" customHeight="true" outlineLevel="0" collapsed="false">
      <c r="N120" s="92"/>
      <c r="O120" s="93"/>
      <c r="P120" s="93"/>
      <c r="Q120" s="94"/>
    </row>
    <row r="121" customFormat="false" ht="15.75" hidden="false" customHeight="true" outlineLevel="0" collapsed="false">
      <c r="N121" s="92"/>
      <c r="O121" s="93"/>
      <c r="P121" s="93"/>
      <c r="Q121" s="94"/>
    </row>
    <row r="122" customFormat="false" ht="15.75" hidden="false" customHeight="true" outlineLevel="0" collapsed="false">
      <c r="N122" s="92"/>
      <c r="O122" s="93"/>
      <c r="P122" s="93"/>
      <c r="Q122" s="94"/>
    </row>
    <row r="123" customFormat="false" ht="15.75" hidden="false" customHeight="true" outlineLevel="0" collapsed="false">
      <c r="N123" s="92"/>
      <c r="O123" s="93"/>
      <c r="P123" s="93"/>
      <c r="Q123" s="94"/>
    </row>
    <row r="124" customFormat="false" ht="15.75" hidden="false" customHeight="true" outlineLevel="0" collapsed="false">
      <c r="N124" s="92"/>
      <c r="O124" s="93"/>
      <c r="P124" s="93"/>
      <c r="Q124" s="94"/>
    </row>
    <row r="125" customFormat="false" ht="15.75" hidden="false" customHeight="true" outlineLevel="0" collapsed="false">
      <c r="N125" s="92"/>
      <c r="O125" s="93"/>
      <c r="P125" s="93"/>
      <c r="Q125" s="94"/>
    </row>
    <row r="126" customFormat="false" ht="15.75" hidden="false" customHeight="true" outlineLevel="0" collapsed="false">
      <c r="N126" s="92"/>
      <c r="O126" s="93"/>
      <c r="P126" s="93"/>
      <c r="Q126" s="94"/>
    </row>
    <row r="127" customFormat="false" ht="15.75" hidden="false" customHeight="true" outlineLevel="0" collapsed="false">
      <c r="N127" s="92"/>
      <c r="O127" s="93"/>
      <c r="P127" s="93"/>
      <c r="Q127" s="94"/>
    </row>
    <row r="128" customFormat="false" ht="15.75" hidden="false" customHeight="true" outlineLevel="0" collapsed="false">
      <c r="N128" s="92"/>
      <c r="O128" s="93"/>
      <c r="P128" s="93"/>
      <c r="Q128" s="94"/>
    </row>
    <row r="129" customFormat="false" ht="15.75" hidden="false" customHeight="true" outlineLevel="0" collapsed="false">
      <c r="N129" s="92"/>
      <c r="O129" s="93"/>
      <c r="P129" s="93"/>
      <c r="Q129" s="94"/>
    </row>
    <row r="130" customFormat="false" ht="15.75" hidden="false" customHeight="true" outlineLevel="0" collapsed="false">
      <c r="N130" s="92"/>
      <c r="O130" s="93"/>
      <c r="P130" s="93"/>
      <c r="Q130" s="92"/>
    </row>
    <row r="131" customFormat="false" ht="15.75" hidden="false" customHeight="true" outlineLevel="0" collapsed="false">
      <c r="N131" s="92"/>
      <c r="O131" s="93"/>
      <c r="P131" s="93"/>
      <c r="Q131" s="94"/>
    </row>
    <row r="132" customFormat="false" ht="15.75" hidden="false" customHeight="true" outlineLevel="0" collapsed="false">
      <c r="N132" s="92"/>
      <c r="O132" s="93"/>
      <c r="P132" s="93"/>
      <c r="Q132" s="94"/>
    </row>
    <row r="133" customFormat="false" ht="15.75" hidden="false" customHeight="true" outlineLevel="0" collapsed="false">
      <c r="N133" s="92"/>
      <c r="O133" s="93"/>
      <c r="P133" s="93"/>
      <c r="Q133" s="94"/>
    </row>
    <row r="134" customFormat="false" ht="15.75" hidden="false" customHeight="true" outlineLevel="0" collapsed="false">
      <c r="N134" s="92"/>
      <c r="O134" s="93"/>
      <c r="P134" s="93"/>
      <c r="Q134" s="94"/>
    </row>
    <row r="135" customFormat="false" ht="15.75" hidden="false" customHeight="true" outlineLevel="0" collapsed="false">
      <c r="N135" s="92"/>
      <c r="O135" s="93"/>
      <c r="P135" s="93"/>
      <c r="Q135" s="92"/>
    </row>
    <row r="136" customFormat="false" ht="15.75" hidden="false" customHeight="true" outlineLevel="0" collapsed="false">
      <c r="N136" s="92"/>
      <c r="O136" s="93"/>
      <c r="P136" s="93"/>
      <c r="Q136" s="94"/>
    </row>
    <row r="137" customFormat="false" ht="15.75" hidden="false" customHeight="true" outlineLevel="0" collapsed="false">
      <c r="N137" s="92"/>
      <c r="O137" s="93"/>
      <c r="P137" s="93"/>
      <c r="Q137" s="94"/>
    </row>
    <row r="138" customFormat="false" ht="15.75" hidden="false" customHeight="true" outlineLevel="0" collapsed="false">
      <c r="N138" s="92"/>
      <c r="O138" s="93"/>
      <c r="P138" s="93"/>
      <c r="Q138" s="94"/>
    </row>
    <row r="139" customFormat="false" ht="15.75" hidden="false" customHeight="true" outlineLevel="0" collapsed="false">
      <c r="N139" s="92"/>
      <c r="O139" s="93"/>
      <c r="P139" s="93"/>
      <c r="Q139" s="94"/>
    </row>
    <row r="140" customFormat="false" ht="15.75" hidden="false" customHeight="true" outlineLevel="0" collapsed="false">
      <c r="N140" s="92"/>
      <c r="O140" s="93"/>
      <c r="P140" s="93"/>
      <c r="Q140" s="94"/>
    </row>
    <row r="141" customFormat="false" ht="15.75" hidden="false" customHeight="true" outlineLevel="0" collapsed="false">
      <c r="N141" s="92"/>
      <c r="O141" s="93"/>
      <c r="P141" s="93"/>
      <c r="Q141" s="94"/>
    </row>
    <row r="142" customFormat="false" ht="15.75" hidden="false" customHeight="true" outlineLevel="0" collapsed="false">
      <c r="N142" s="92"/>
      <c r="O142" s="93"/>
      <c r="P142" s="93"/>
      <c r="Q142" s="94"/>
    </row>
    <row r="143" customFormat="false" ht="15.75" hidden="false" customHeight="true" outlineLevel="0" collapsed="false">
      <c r="N143" s="92"/>
      <c r="O143" s="93"/>
      <c r="P143" s="93"/>
      <c r="Q143" s="94"/>
    </row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B3:AJ92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ref="B4:AJ92">
      <sortCondition ref="A4:A92" customList=""/>
    </sortState>
  </autoFilter>
  <mergeCells count="12">
    <mergeCell ref="V2:W2"/>
    <mergeCell ref="X2:Y2"/>
    <mergeCell ref="Z2:AA2"/>
    <mergeCell ref="AB2:AC2"/>
    <mergeCell ref="AD2:AE2"/>
    <mergeCell ref="AF2:AG2"/>
    <mergeCell ref="AH2:AI2"/>
    <mergeCell ref="AJ2:AL2"/>
    <mergeCell ref="AM2:AM3"/>
    <mergeCell ref="AO2:AU2"/>
    <mergeCell ref="AX2:BD2"/>
    <mergeCell ref="AK3:AL3"/>
  </mergeCells>
  <conditionalFormatting sqref="AL10:AL66 AL68:AL78 AL80 AL82:AL92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BD10:BD66 BD68:BD78 BD80 BD82:BD9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U10:AU66 AU68:AU78 AU80 AU82:AU92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J4:AM92">
    <cfRule type="cellIs" priority="5" operator="equal" aboveAverage="0" equalAverage="0" bottom="0" percent="0" rank="0" text="" dxfId="16">
      <formula>0</formula>
    </cfRule>
  </conditionalFormatting>
  <conditionalFormatting sqref="L1:L40 L42:L1048576">
    <cfRule type="cellIs" priority="6" operator="greaterThan" aboveAverage="0" equalAverage="0" bottom="0" percent="0" rank="0" text="" dxfId="17">
      <formula>0</formula>
    </cfRule>
  </conditionalFormatting>
  <conditionalFormatting sqref="L3">
    <cfRule type="containsText" priority="7" operator="containsText" aboveAverage="0" equalAverage="0" bottom="0" percent="0" rank="0" text="minutos" dxfId="17">
      <formula>NOT(ISERROR(SEARCH("minutos",L3)))</formula>
    </cfRule>
  </conditionalFormatting>
  <conditionalFormatting sqref="K1:K40 K42:K1048576">
    <cfRule type="cellIs" priority="8" operator="greaterThan" aboveAverage="0" equalAverage="0" bottom="0" percent="0" rank="0" text="" dxfId="18">
      <formula>0</formula>
    </cfRule>
  </conditionalFormatting>
  <conditionalFormatting sqref="J1:J40 J42:J1048576">
    <cfRule type="cellIs" priority="9" operator="greaterThan" aboveAverage="0" equalAverage="0" bottom="0" percent="0" rank="0" text="" dxfId="19">
      <formula>0</formula>
    </cfRule>
  </conditionalFormatting>
  <conditionalFormatting sqref="I1:I40 I42:I1048576">
    <cfRule type="cellIs" priority="10" operator="greaterThan" aboveAverage="0" equalAverage="0" bottom="0" percent="0" rank="0" text="" dxfId="20">
      <formula>0</formula>
    </cfRule>
  </conditionalFormatting>
  <conditionalFormatting sqref="J96:J98 M1:M96 M100:M1048576">
    <cfRule type="expression" priority="11" aboveAverage="0" equalAverage="0" bottom="0" percent="0" rank="0" text="" dxfId="21">
      <formula>LEN(TRIM(J96))=0</formula>
    </cfRule>
    <cfRule type="cellIs" priority="12" operator="equal" aboveAverage="0" equalAverage="0" bottom="0" percent="0" rank="0" text="" dxfId="16">
      <formula>0</formula>
    </cfRule>
  </conditionalFormatting>
  <conditionalFormatting sqref="H1:H1048576">
    <cfRule type="containsText" priority="13" operator="containsText" aboveAverage="0" equalAverage="0" bottom="0" percent="0" rank="0" text="minutos" dxfId="17">
      <formula>NOT(ISERROR(SEARCH("minutos",H1)))</formula>
    </cfRule>
    <cfRule type="containsText" priority="14" operator="containsText" aboveAverage="0" equalAverage="0" bottom="0" percent="0" rank="0" text="horas" dxfId="18">
      <formula>NOT(ISERROR(SEARCH("horas",H1)))</formula>
    </cfRule>
    <cfRule type="containsText" priority="15" operator="containsText" aboveAverage="0" equalAverage="0" bottom="0" percent="0" rank="0" text="días" dxfId="19">
      <formula>NOT(ISERROR(SEARCH("días",H1)))</formula>
    </cfRule>
    <cfRule type="containsText" priority="16" operator="containsText" aboveAverage="0" equalAverage="0" bottom="0" percent="0" rank="0" text="años" dxfId="20">
      <formula>NOT(ISERROR(SEARCH("años",H1)))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K59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D5" activeCellId="0" sqref="D5"/>
    </sheetView>
  </sheetViews>
  <sheetFormatPr defaultColWidth="10.6796875" defaultRowHeight="14.25" zeroHeight="false" outlineLevelRow="0" outlineLevelCol="0"/>
  <sheetData>
    <row r="4" customFormat="false" ht="15" hidden="false" customHeight="true" outlineLevel="0" collapsed="false"/>
    <row r="5" customFormat="false" ht="14.25" hidden="false" customHeight="true" outlineLevel="0" collapsed="false">
      <c r="D5" s="5" t="s">
        <v>11</v>
      </c>
      <c r="E5" s="7" t="s">
        <v>10</v>
      </c>
      <c r="F5" s="7"/>
      <c r="G5" s="7"/>
      <c r="H5" s="7"/>
      <c r="I5" s="7"/>
      <c r="J5" s="7"/>
      <c r="K5" s="7"/>
    </row>
    <row r="6" customFormat="false" ht="29.25" hidden="false" customHeight="true" outlineLevel="0" collapsed="false">
      <c r="D6" s="5"/>
      <c r="E6" s="19" t="s">
        <v>43</v>
      </c>
      <c r="F6" s="20" t="s">
        <v>44</v>
      </c>
      <c r="G6" s="20" t="s">
        <v>45</v>
      </c>
      <c r="H6" s="20" t="s">
        <v>46</v>
      </c>
      <c r="I6" s="20" t="s">
        <v>47</v>
      </c>
      <c r="J6" s="20" t="s">
        <v>6</v>
      </c>
      <c r="K6" s="18" t="s">
        <v>7</v>
      </c>
    </row>
    <row r="7" customFormat="false" ht="14.25" hidden="false" customHeight="false" outlineLevel="0" collapsed="false">
      <c r="D7" s="49" t="s">
        <v>171</v>
      </c>
      <c r="E7" s="50" t="n">
        <f aca="false">'AZ6 RZ1 (ACCIDENT)'!AX51</f>
        <v>8.18220810319439E+020</v>
      </c>
      <c r="F7" s="50" t="n">
        <f aca="false">'AZ6 RZ1 (ACCIDENT)'!AY51</f>
        <v>8.18220810319439E+020</v>
      </c>
      <c r="G7" s="50" t="n">
        <f aca="false">'AZ6 RZ1 (ACCIDENT)'!AZ51</f>
        <v>8.18220810319439E+018</v>
      </c>
      <c r="H7" s="50" t="n">
        <f aca="false">'AZ6 RZ1 (ACCIDENT)'!BA51</f>
        <v>4091104051597.2</v>
      </c>
      <c r="I7" s="50" t="n">
        <f aca="false">'AZ6 RZ1 (ACCIDENT)'!BB51</f>
        <v>136370135053.24</v>
      </c>
      <c r="J7" s="50" t="n">
        <f aca="false">'AZ6 RZ1 (ACCIDENT)'!BC51</f>
        <v>1363701350.5324</v>
      </c>
      <c r="K7" s="50" t="n">
        <f aca="false">'AZ6 RZ1 (ACCIDENT)'!BD51</f>
        <v>681850675.2662</v>
      </c>
    </row>
    <row r="8" customFormat="false" ht="14.25" hidden="false" customHeight="false" outlineLevel="0" collapsed="false">
      <c r="D8" s="49" t="s">
        <v>86</v>
      </c>
      <c r="E8" s="50" t="n">
        <f aca="false">'AZ6 RZ1 (ACCIDENT)'!AX18</f>
        <v>1.11131384350781E+020</v>
      </c>
      <c r="F8" s="50" t="n">
        <f aca="false">'AZ6 RZ1 (ACCIDENT)'!AY18</f>
        <v>1.11131384350781E+020</v>
      </c>
      <c r="G8" s="50" t="n">
        <f aca="false">'AZ6 RZ1 (ACCIDENT)'!AZ18</f>
        <v>2.22262768701561E+019</v>
      </c>
      <c r="H8" s="50" t="n">
        <f aca="false">'AZ6 RZ1 (ACCIDENT)'!BA18</f>
        <v>11113138435078.1</v>
      </c>
      <c r="I8" s="50" t="n">
        <f aca="false">'AZ6 RZ1 (ACCIDENT)'!BB18</f>
        <v>11113138435078.1</v>
      </c>
      <c r="J8" s="50" t="n">
        <f aca="false">'AZ6 RZ1 (ACCIDENT)'!BC18</f>
        <v>111131384350.781</v>
      </c>
      <c r="K8" s="50" t="n">
        <f aca="false">'AZ6 RZ1 (ACCIDENT)'!BD18</f>
        <v>111131384350.781</v>
      </c>
    </row>
    <row r="9" customFormat="false" ht="14.25" hidden="false" customHeight="false" outlineLevel="0" collapsed="false">
      <c r="D9" s="49" t="s">
        <v>223</v>
      </c>
      <c r="E9" s="50" t="n">
        <f aca="false">'AZ6 RZ1 (ACCIDENT)'!AX63</f>
        <v>9.6890022684502E+019</v>
      </c>
      <c r="F9" s="50" t="n">
        <f aca="false">'AZ6 RZ1 (ACCIDENT)'!AY63</f>
        <v>9.6890022684502E+019</v>
      </c>
      <c r="G9" s="50" t="n">
        <f aca="false">'AZ6 RZ1 (ACCIDENT)'!AZ63</f>
        <v>9.6890022684502E+019</v>
      </c>
      <c r="H9" s="50" t="n">
        <f aca="false">'AZ6 RZ1 (ACCIDENT)'!BA63</f>
        <v>484450113422510</v>
      </c>
      <c r="I9" s="50" t="n">
        <f aca="false">'AZ6 RZ1 (ACCIDENT)'!BB63</f>
        <v>16148337114083.7</v>
      </c>
      <c r="J9" s="50" t="n">
        <f aca="false">'AZ6 RZ1 (ACCIDENT)'!BC63</f>
        <v>161483371140.837</v>
      </c>
      <c r="K9" s="50" t="n">
        <f aca="false">'AZ6 RZ1 (ACCIDENT)'!BD63</f>
        <v>80741685570.4183</v>
      </c>
    </row>
    <row r="10" customFormat="false" ht="14.25" hidden="false" customHeight="false" outlineLevel="0" collapsed="false">
      <c r="D10" s="49" t="s">
        <v>280</v>
      </c>
      <c r="E10" s="50" t="n">
        <f aca="false">'AZ6 RZ1 (ACCIDENT)'!AX76</f>
        <v>8.81546063007612E+019</v>
      </c>
      <c r="F10" s="50" t="n">
        <f aca="false">'AZ6 RZ1 (ACCIDENT)'!AY76</f>
        <v>8.81546063007612E+019</v>
      </c>
      <c r="G10" s="50" t="n">
        <f aca="false">'AZ6 RZ1 (ACCIDENT)'!AZ76</f>
        <v>1.76309212601522E+018</v>
      </c>
      <c r="H10" s="50" t="n">
        <f aca="false">'AZ6 RZ1 (ACCIDENT)'!BA76</f>
        <v>881546063007.612</v>
      </c>
      <c r="I10" s="50" t="n">
        <f aca="false">'AZ6 RZ1 (ACCIDENT)'!BB76</f>
        <v>29384868766.9204</v>
      </c>
      <c r="J10" s="50" t="n">
        <f aca="false">'AZ6 RZ1 (ACCIDENT)'!BC76</f>
        <v>293848687.669204</v>
      </c>
      <c r="K10" s="50" t="n">
        <f aca="false">'AZ6 RZ1 (ACCIDENT)'!BD76</f>
        <v>146924343.834602</v>
      </c>
    </row>
    <row r="11" customFormat="false" ht="14.25" hidden="false" customHeight="false" outlineLevel="0" collapsed="false">
      <c r="D11" s="49" t="s">
        <v>263</v>
      </c>
      <c r="E11" s="50" t="n">
        <f aca="false">'AZ6 RZ1 (ACCIDENT)'!AX72</f>
        <v>8.05930875805379E+019</v>
      </c>
      <c r="F11" s="50" t="n">
        <f aca="false">'AZ6 RZ1 (ACCIDENT)'!AY72</f>
        <v>8.05930875805379E+019</v>
      </c>
      <c r="G11" s="50" t="n">
        <f aca="false">'AZ6 RZ1 (ACCIDENT)'!AZ72</f>
        <v>1.61186175161076E+018</v>
      </c>
      <c r="H11" s="50" t="n">
        <f aca="false">'AZ6 RZ1 (ACCIDENT)'!BA72</f>
        <v>805930875805.379</v>
      </c>
      <c r="I11" s="50" t="n">
        <f aca="false">'AZ6 RZ1 (ACCIDENT)'!BB72</f>
        <v>26864362526.846</v>
      </c>
      <c r="J11" s="50" t="n">
        <f aca="false">'AZ6 RZ1 (ACCIDENT)'!BC72</f>
        <v>268643625.26846</v>
      </c>
      <c r="K11" s="50" t="n">
        <f aca="false">'AZ6 RZ1 (ACCIDENT)'!BD72</f>
        <v>134321812.63423</v>
      </c>
    </row>
    <row r="12" customFormat="false" ht="14.25" hidden="false" customHeight="false" outlineLevel="0" collapsed="false">
      <c r="D12" s="49" t="s">
        <v>251</v>
      </c>
      <c r="E12" s="50" t="n">
        <f aca="false">'AZ6 RZ1 (ACCIDENT)'!AX69</f>
        <v>7.61953839563712E+019</v>
      </c>
      <c r="F12" s="50" t="n">
        <f aca="false">'AZ6 RZ1 (ACCIDENT)'!AY69</f>
        <v>7.61953839563712E+019</v>
      </c>
      <c r="G12" s="50" t="n">
        <f aca="false">'AZ6 RZ1 (ACCIDENT)'!AZ69</f>
        <v>1.52390767912742E+018</v>
      </c>
      <c r="H12" s="50" t="n">
        <f aca="false">'AZ6 RZ1 (ACCIDENT)'!BA69</f>
        <v>761953839563.712</v>
      </c>
      <c r="I12" s="50" t="n">
        <f aca="false">'AZ6 RZ1 (ACCIDENT)'!BB69</f>
        <v>253984613187.904</v>
      </c>
      <c r="J12" s="50" t="n">
        <f aca="false">'AZ6 RZ1 (ACCIDENT)'!BC69</f>
        <v>2539846131.87904</v>
      </c>
      <c r="K12" s="50" t="n">
        <f aca="false">'AZ6 RZ1 (ACCIDENT)'!BD69</f>
        <v>1269923065.93952</v>
      </c>
    </row>
    <row r="13" customFormat="false" ht="14.25" hidden="false" customHeight="false" outlineLevel="0" collapsed="false">
      <c r="D13" s="49" t="s">
        <v>254</v>
      </c>
      <c r="E13" s="50" t="n">
        <f aca="false">'AZ6 RZ1 (ACCIDENT)'!AX70</f>
        <v>6.4794892166458E+019</v>
      </c>
      <c r="F13" s="50" t="n">
        <f aca="false">'AZ6 RZ1 (ACCIDENT)'!AY70</f>
        <v>6.4794892166458E+019</v>
      </c>
      <c r="G13" s="50" t="n">
        <f aca="false">'AZ6 RZ1 (ACCIDENT)'!AZ70</f>
        <v>1.29589784332916E+018</v>
      </c>
      <c r="H13" s="50" t="n">
        <f aca="false">'AZ6 RZ1 (ACCIDENT)'!BA70</f>
        <v>647948921664.58</v>
      </c>
      <c r="I13" s="50" t="n">
        <f aca="false">'AZ6 RZ1 (ACCIDENT)'!BB70</f>
        <v>215982973888.193</v>
      </c>
      <c r="J13" s="50" t="n">
        <f aca="false">'AZ6 RZ1 (ACCIDENT)'!BC70</f>
        <v>2159829738.88193</v>
      </c>
      <c r="K13" s="50" t="n">
        <f aca="false">'AZ6 RZ1 (ACCIDENT)'!BD70</f>
        <v>1079914869.44097</v>
      </c>
    </row>
    <row r="14" customFormat="false" ht="14.25" hidden="false" customHeight="false" outlineLevel="0" collapsed="false">
      <c r="D14" s="49" t="s">
        <v>240</v>
      </c>
      <c r="E14" s="50" t="n">
        <f aca="false">'AZ6 RZ1 (ACCIDENT)'!AX66</f>
        <v>6.31249288848936E+019</v>
      </c>
      <c r="F14" s="50" t="n">
        <f aca="false">'AZ6 RZ1 (ACCIDENT)'!AY66</f>
        <v>6.31249288848936E+019</v>
      </c>
      <c r="G14" s="50" t="n">
        <f aca="false">'AZ6 RZ1 (ACCIDENT)'!AZ66</f>
        <v>1.26249857769787E+018</v>
      </c>
      <c r="H14" s="50" t="n">
        <f aca="false">'AZ6 RZ1 (ACCIDENT)'!BA66</f>
        <v>631249288848.936</v>
      </c>
      <c r="I14" s="50" t="n">
        <f aca="false">'AZ6 RZ1 (ACCIDENT)'!BB66</f>
        <v>210416429616.312</v>
      </c>
      <c r="J14" s="50" t="n">
        <f aca="false">'AZ6 RZ1 (ACCIDENT)'!BC66</f>
        <v>2104164296.16312</v>
      </c>
      <c r="K14" s="50" t="n">
        <f aca="false">'AZ6 RZ1 (ACCIDENT)'!BD66</f>
        <v>1052082148.08156</v>
      </c>
    </row>
    <row r="15" customFormat="false" ht="14.25" hidden="false" customHeight="false" outlineLevel="0" collapsed="false">
      <c r="D15" s="49" t="s">
        <v>118</v>
      </c>
      <c r="E15" s="50" t="n">
        <f aca="false">'AZ6 RZ1 (ACCIDENT)'!AX31</f>
        <v>5.85243587575099E+019</v>
      </c>
      <c r="F15" s="50" t="n">
        <f aca="false">'AZ6 RZ1 (ACCIDENT)'!AY31</f>
        <v>5.85243587575099E+019</v>
      </c>
      <c r="G15" s="50" t="n">
        <f aca="false">'AZ6 RZ1 (ACCIDENT)'!AZ31</f>
        <v>1.1704871751502E+018</v>
      </c>
      <c r="H15" s="50" t="n">
        <f aca="false">'AZ6 RZ1 (ACCIDENT)'!BA31</f>
        <v>585243587575.099</v>
      </c>
      <c r="I15" s="50" t="n">
        <f aca="false">'AZ6 RZ1 (ACCIDENT)'!BB31</f>
        <v>195081195858.366</v>
      </c>
      <c r="J15" s="50" t="n">
        <f aca="false">'AZ6 RZ1 (ACCIDENT)'!BC31</f>
        <v>1950811958.58366</v>
      </c>
      <c r="K15" s="50" t="n">
        <f aca="false">'AZ6 RZ1 (ACCIDENT)'!BD31</f>
        <v>975405979.291832</v>
      </c>
    </row>
    <row r="16" customFormat="false" ht="14.25" hidden="false" customHeight="false" outlineLevel="0" collapsed="false">
      <c r="D16" s="49" t="s">
        <v>211</v>
      </c>
      <c r="E16" s="50" t="n">
        <f aca="false">'AZ6 RZ1 (ACCIDENT)'!AX60</f>
        <v>5.17560658411152E+019</v>
      </c>
      <c r="F16" s="50" t="n">
        <f aca="false">'AZ6 RZ1 (ACCIDENT)'!AY60</f>
        <v>5.17560658411152E+019</v>
      </c>
      <c r="G16" s="50" t="n">
        <f aca="false">'AZ6 RZ1 (ACCIDENT)'!AZ60</f>
        <v>5.17560658411152E+019</v>
      </c>
      <c r="H16" s="50" t="n">
        <f aca="false">'AZ6 RZ1 (ACCIDENT)'!BA60</f>
        <v>258780329205576</v>
      </c>
      <c r="I16" s="50" t="n">
        <f aca="false">'AZ6 RZ1 (ACCIDENT)'!BB60</f>
        <v>8626010973519.21</v>
      </c>
      <c r="J16" s="50" t="n">
        <f aca="false">'AZ6 RZ1 (ACCIDENT)'!BC60</f>
        <v>86260109735.1921</v>
      </c>
      <c r="K16" s="50" t="n">
        <f aca="false">'AZ6 RZ1 (ACCIDENT)'!BD60</f>
        <v>43130054867.596</v>
      </c>
    </row>
    <row r="17" customFormat="false" ht="14.25" hidden="false" customHeight="false" outlineLevel="0" collapsed="false">
      <c r="D17" s="49" t="s">
        <v>144</v>
      </c>
      <c r="E17" s="50" t="n">
        <f aca="false">'AZ6 RZ1 (ACCIDENT)'!AX42</f>
        <v>4.72777435042987E+019</v>
      </c>
      <c r="F17" s="50" t="n">
        <f aca="false">'AZ6 RZ1 (ACCIDENT)'!AY42</f>
        <v>4.72777435042987E+019</v>
      </c>
      <c r="G17" s="50" t="n">
        <f aca="false">'AZ6 RZ1 (ACCIDENT)'!AZ42</f>
        <v>4.72777435042987E+017</v>
      </c>
      <c r="H17" s="50" t="n">
        <f aca="false">'AZ6 RZ1 (ACCIDENT)'!BA42</f>
        <v>236388717521.493</v>
      </c>
      <c r="I17" s="50" t="n">
        <f aca="false">'AZ6 RZ1 (ACCIDENT)'!BB42</f>
        <v>7879623917.38311</v>
      </c>
      <c r="J17" s="50" t="n">
        <f aca="false">'AZ6 RZ1 (ACCIDENT)'!BC42</f>
        <v>78796239.1738311</v>
      </c>
      <c r="K17" s="50" t="n">
        <f aca="false">'AZ6 RZ1 (ACCIDENT)'!BD42</f>
        <v>39398119.5869155</v>
      </c>
    </row>
    <row r="18" customFormat="false" ht="14.25" hidden="false" customHeight="false" outlineLevel="0" collapsed="false">
      <c r="D18" s="49" t="s">
        <v>301</v>
      </c>
      <c r="E18" s="50" t="n">
        <f aca="false">'AZ6 RZ1 (ACCIDENT)'!AX83</f>
        <v>3.43761246739327E+019</v>
      </c>
      <c r="F18" s="50" t="n">
        <f aca="false">'AZ6 RZ1 (ACCIDENT)'!AY83</f>
        <v>3.43761246739327E+019</v>
      </c>
      <c r="G18" s="50" t="n">
        <f aca="false">'AZ6 RZ1 (ACCIDENT)'!AZ83</f>
        <v>6.87522493478653E+017</v>
      </c>
      <c r="H18" s="50" t="n">
        <f aca="false">'AZ6 RZ1 (ACCIDENT)'!BA83</f>
        <v>343761246739.327</v>
      </c>
      <c r="I18" s="50" t="n">
        <f aca="false">'AZ6 RZ1 (ACCIDENT)'!BB83</f>
        <v>11458708224.6442</v>
      </c>
      <c r="J18" s="50" t="n">
        <f aca="false">'AZ6 RZ1 (ACCIDENT)'!BC83</f>
        <v>114587082.246442</v>
      </c>
      <c r="K18" s="50" t="n">
        <f aca="false">'AZ6 RZ1 (ACCIDENT)'!BD83</f>
        <v>57293541.1232211</v>
      </c>
    </row>
    <row r="19" customFormat="false" ht="14.25" hidden="false" customHeight="false" outlineLevel="0" collapsed="false">
      <c r="D19" s="49" t="s">
        <v>271</v>
      </c>
      <c r="E19" s="50" t="n">
        <f aca="false">'AZ6 RZ1 (ACCIDENT)'!AX74</f>
        <v>3.41011670237179E+019</v>
      </c>
      <c r="F19" s="50" t="n">
        <f aca="false">'AZ6 RZ1 (ACCIDENT)'!AY74</f>
        <v>3.41011670237179E+019</v>
      </c>
      <c r="G19" s="50" t="n">
        <f aca="false">'AZ6 RZ1 (ACCIDENT)'!AZ74</f>
        <v>6.82023340474358E+017</v>
      </c>
      <c r="H19" s="50" t="n">
        <f aca="false">'AZ6 RZ1 (ACCIDENT)'!BA74</f>
        <v>341011670237.179</v>
      </c>
      <c r="I19" s="50" t="n">
        <f aca="false">'AZ6 RZ1 (ACCIDENT)'!BB74</f>
        <v>11367055674.5726</v>
      </c>
      <c r="J19" s="50" t="n">
        <f aca="false">'AZ6 RZ1 (ACCIDENT)'!BC74</f>
        <v>113670556.745726</v>
      </c>
      <c r="K19" s="50" t="n">
        <f aca="false">'AZ6 RZ1 (ACCIDENT)'!BD74</f>
        <v>56835278.3728631</v>
      </c>
    </row>
    <row r="20" customFormat="false" ht="14.25" hidden="false" customHeight="false" outlineLevel="0" collapsed="false">
      <c r="D20" s="49" t="s">
        <v>129</v>
      </c>
      <c r="E20" s="50" t="n">
        <f aca="false">'AZ6 RZ1 (ACCIDENT)'!AX35</f>
        <v>3.28216186241796E+019</v>
      </c>
      <c r="F20" s="50" t="n">
        <f aca="false">'AZ6 RZ1 (ACCIDENT)'!AY35</f>
        <v>3.28216186241796E+019</v>
      </c>
      <c r="G20" s="50" t="n">
        <f aca="false">'AZ6 RZ1 (ACCIDENT)'!AZ35</f>
        <v>6.56432372483591E+017</v>
      </c>
      <c r="H20" s="50" t="n">
        <f aca="false">'AZ6 RZ1 (ACCIDENT)'!BA35</f>
        <v>328216186241.796</v>
      </c>
      <c r="I20" s="50" t="n">
        <f aca="false">'AZ6 RZ1 (ACCIDENT)'!BB35</f>
        <v>109405395413.932</v>
      </c>
      <c r="J20" s="50" t="n">
        <f aca="false">'AZ6 RZ1 (ACCIDENT)'!BC35</f>
        <v>1094053954.13932</v>
      </c>
      <c r="K20" s="50" t="n">
        <f aca="false">'AZ6 RZ1 (ACCIDENT)'!BD35</f>
        <v>547026977.069659</v>
      </c>
    </row>
    <row r="21" customFormat="false" ht="14.25" hidden="false" customHeight="false" outlineLevel="0" collapsed="false">
      <c r="D21" s="49" t="s">
        <v>235</v>
      </c>
      <c r="E21" s="50" t="n">
        <f aca="false">'AZ6 RZ1 (ACCIDENT)'!AX65</f>
        <v>1.77628621619986E+019</v>
      </c>
      <c r="F21" s="50" t="n">
        <f aca="false">'AZ6 RZ1 (ACCIDENT)'!AY65</f>
        <v>1.77628621619986E+019</v>
      </c>
      <c r="G21" s="50" t="n">
        <f aca="false">'AZ6 RZ1 (ACCIDENT)'!AZ65</f>
        <v>3.55257243239971E+017</v>
      </c>
      <c r="H21" s="50" t="n">
        <f aca="false">'AZ6 RZ1 (ACCIDENT)'!BA65</f>
        <v>177628621619.986</v>
      </c>
      <c r="I21" s="50" t="n">
        <f aca="false">'AZ6 RZ1 (ACCIDENT)'!BB65</f>
        <v>5920954053.99952</v>
      </c>
      <c r="J21" s="50" t="n">
        <f aca="false">'AZ6 RZ1 (ACCIDENT)'!BC65</f>
        <v>59209540.5399952</v>
      </c>
      <c r="K21" s="50" t="n">
        <f aca="false">'AZ6 RZ1 (ACCIDENT)'!BD65</f>
        <v>29604770.2699976</v>
      </c>
    </row>
    <row r="22" customFormat="false" ht="14.25" hidden="false" customHeight="false" outlineLevel="0" collapsed="false">
      <c r="D22" s="49" t="s">
        <v>93</v>
      </c>
      <c r="E22" s="50" t="n">
        <f aca="false">'AZ6 RZ1 (ACCIDENT)'!AX20</f>
        <v>1.55854132569723E+019</v>
      </c>
      <c r="F22" s="50" t="n">
        <f aca="false">'AZ6 RZ1 (ACCIDENT)'!AY20</f>
        <v>1.55854132569723E+019</v>
      </c>
      <c r="G22" s="50" t="n">
        <f aca="false">'AZ6 RZ1 (ACCIDENT)'!AZ20</f>
        <v>3.11708265139445E+018</v>
      </c>
      <c r="H22" s="50" t="n">
        <f aca="false">'AZ6 RZ1 (ACCIDENT)'!BA20</f>
        <v>1558541325697.23</v>
      </c>
      <c r="I22" s="50" t="n">
        <f aca="false">'AZ6 RZ1 (ACCIDENT)'!BB20</f>
        <v>1558541325697.23</v>
      </c>
      <c r="J22" s="50" t="n">
        <f aca="false">'AZ6 RZ1 (ACCIDENT)'!BC20</f>
        <v>15585413256.9723</v>
      </c>
      <c r="K22" s="50" t="n">
        <f aca="false">'AZ6 RZ1 (ACCIDENT)'!BD20</f>
        <v>15585413256.9723</v>
      </c>
    </row>
    <row r="23" customFormat="false" ht="14.25" hidden="false" customHeight="false" outlineLevel="0" collapsed="false">
      <c r="D23" s="49" t="s">
        <v>123</v>
      </c>
      <c r="E23" s="50" t="n">
        <f aca="false">'AZ6 RZ1 (ACCIDENT)'!AX33</f>
        <v>7.92470023279491E+018</v>
      </c>
      <c r="F23" s="50" t="n">
        <f aca="false">'AZ6 RZ1 (ACCIDENT)'!AY33</f>
        <v>7.92470023279491E+018</v>
      </c>
      <c r="G23" s="50" t="n">
        <f aca="false">'AZ6 RZ1 (ACCIDENT)'!AZ33</f>
        <v>1.58494004655898E+017</v>
      </c>
      <c r="H23" s="50" t="n">
        <f aca="false">'AZ6 RZ1 (ACCIDENT)'!BA33</f>
        <v>79247002327.9491</v>
      </c>
      <c r="I23" s="50" t="n">
        <f aca="false">'AZ6 RZ1 (ACCIDENT)'!BB33</f>
        <v>26415667442.6497</v>
      </c>
      <c r="J23" s="50" t="n">
        <f aca="false">'AZ6 RZ1 (ACCIDENT)'!BC33</f>
        <v>264156674.426497</v>
      </c>
      <c r="K23" s="50" t="n">
        <f aca="false">'AZ6 RZ1 (ACCIDENT)'!BD33</f>
        <v>132078337.213248</v>
      </c>
    </row>
    <row r="24" customFormat="false" ht="14.25" hidden="false" customHeight="false" outlineLevel="0" collapsed="false">
      <c r="D24" s="49" t="s">
        <v>228</v>
      </c>
      <c r="E24" s="50" t="n">
        <f aca="false">'AZ6 RZ1 (ACCIDENT)'!AX64</f>
        <v>2.96692450873104E+018</v>
      </c>
      <c r="F24" s="50" t="n">
        <f aca="false">'AZ6 RZ1 (ACCIDENT)'!AY64</f>
        <v>2.96692450873104E+018</v>
      </c>
      <c r="G24" s="50" t="n">
        <f aca="false">'AZ6 RZ1 (ACCIDENT)'!AZ64</f>
        <v>59338490174620900</v>
      </c>
      <c r="H24" s="50" t="n">
        <f aca="false">'AZ6 RZ1 (ACCIDENT)'!BA64</f>
        <v>29669245087.3104</v>
      </c>
      <c r="I24" s="50" t="n">
        <f aca="false">'AZ6 RZ1 (ACCIDENT)'!BB64</f>
        <v>988974836.243681</v>
      </c>
      <c r="J24" s="50" t="n">
        <f aca="false">'AZ6 RZ1 (ACCIDENT)'!BC64</f>
        <v>9889748.36243681</v>
      </c>
      <c r="K24" s="50" t="n">
        <f aca="false">'AZ6 RZ1 (ACCIDENT)'!BD64</f>
        <v>4944874.1812184</v>
      </c>
    </row>
    <row r="25" customFormat="false" ht="14.25" hidden="false" customHeight="false" outlineLevel="0" collapsed="false">
      <c r="D25" s="49" t="s">
        <v>165</v>
      </c>
      <c r="E25" s="50" t="n">
        <f aca="false">'AZ6 RZ1 (ACCIDENT)'!AX50</f>
        <v>2.56766692368059E+018</v>
      </c>
      <c r="F25" s="50" t="n">
        <f aca="false">'AZ6 RZ1 (ACCIDENT)'!AY50</f>
        <v>2.56766692368059E+018</v>
      </c>
      <c r="G25" s="50" t="n">
        <f aca="false">'AZ6 RZ1 (ACCIDENT)'!AZ50</f>
        <v>2.56766692368059E+018</v>
      </c>
      <c r="H25" s="50" t="n">
        <f aca="false">'AZ6 RZ1 (ACCIDENT)'!BA50</f>
        <v>1283833461840.3</v>
      </c>
      <c r="I25" s="50" t="n">
        <f aca="false">'AZ6 RZ1 (ACCIDENT)'!BB50</f>
        <v>427944487280.099</v>
      </c>
      <c r="J25" s="50" t="n">
        <f aca="false">'AZ6 RZ1 (ACCIDENT)'!BC50</f>
        <v>4279444872.80099</v>
      </c>
      <c r="K25" s="50" t="n">
        <f aca="false">'AZ6 RZ1 (ACCIDENT)'!BD50</f>
        <v>2139722436.40049</v>
      </c>
    </row>
    <row r="26" customFormat="false" ht="14.25" hidden="false" customHeight="false" outlineLevel="0" collapsed="false">
      <c r="D26" s="49" t="s">
        <v>191</v>
      </c>
      <c r="E26" s="50" t="n">
        <f aca="false">'AZ6 RZ1 (ACCIDENT)'!AX56</f>
        <v>1.67263187113543E+018</v>
      </c>
      <c r="F26" s="50" t="n">
        <f aca="false">'AZ6 RZ1 (ACCIDENT)'!AY56</f>
        <v>1.67263187113543E+018</v>
      </c>
      <c r="G26" s="50" t="n">
        <f aca="false">'AZ6 RZ1 (ACCIDENT)'!AZ56</f>
        <v>16726318711354300</v>
      </c>
      <c r="H26" s="50" t="n">
        <f aca="false">'AZ6 RZ1 (ACCIDENT)'!BA56</f>
        <v>8363159355.67715</v>
      </c>
      <c r="I26" s="50" t="n">
        <f aca="false">'AZ6 RZ1 (ACCIDENT)'!BB56</f>
        <v>278771978.522572</v>
      </c>
      <c r="J26" s="50" t="n">
        <f aca="false">'AZ6 RZ1 (ACCIDENT)'!BC56</f>
        <v>2787719.78522572</v>
      </c>
      <c r="K26" s="50" t="n">
        <f aca="false">'AZ6 RZ1 (ACCIDENT)'!BD56</f>
        <v>1393859.89261286</v>
      </c>
    </row>
    <row r="27" customFormat="false" ht="14.25" hidden="false" customHeight="false" outlineLevel="0" collapsed="false">
      <c r="D27" s="49" t="s">
        <v>80</v>
      </c>
      <c r="E27" s="50" t="n">
        <f aca="false">'AZ6 RZ1 (ACCIDENT)'!AX15</f>
        <v>1.60334779267479E+018</v>
      </c>
      <c r="F27" s="50" t="n">
        <f aca="false">'AZ6 RZ1 (ACCIDENT)'!AY15</f>
        <v>1.60334779267479E+018</v>
      </c>
      <c r="G27" s="50" t="n">
        <f aca="false">'AZ6 RZ1 (ACCIDENT)'!AZ15</f>
        <v>1.60334779267479E+018</v>
      </c>
      <c r="H27" s="50" t="n">
        <f aca="false">'AZ6 RZ1 (ACCIDENT)'!BA15</f>
        <v>801673896337.393</v>
      </c>
      <c r="I27" s="50" t="n">
        <f aca="false">'AZ6 RZ1 (ACCIDENT)'!BB15</f>
        <v>267224632112.464</v>
      </c>
      <c r="J27" s="50" t="n">
        <f aca="false">'AZ6 RZ1 (ACCIDENT)'!BC15</f>
        <v>2672246321.12464</v>
      </c>
      <c r="K27" s="50" t="n">
        <f aca="false">'AZ6 RZ1 (ACCIDENT)'!BD15</f>
        <v>1336123160.56232</v>
      </c>
    </row>
    <row r="28" customFormat="false" ht="14.25" hidden="false" customHeight="false" outlineLevel="0" collapsed="false">
      <c r="D28" s="49" t="s">
        <v>217</v>
      </c>
      <c r="E28" s="50" t="n">
        <f aca="false">'AZ6 RZ1 (ACCIDENT)'!AX61</f>
        <v>1.30696324250906E+018</v>
      </c>
      <c r="F28" s="50" t="n">
        <f aca="false">'AZ6 RZ1 (ACCIDENT)'!AY61</f>
        <v>1.30696324250906E+018</v>
      </c>
      <c r="G28" s="50" t="n">
        <f aca="false">'AZ6 RZ1 (ACCIDENT)'!AZ61</f>
        <v>1.30696324250906E+018</v>
      </c>
      <c r="H28" s="50" t="n">
        <f aca="false">'AZ6 RZ1 (ACCIDENT)'!BA61</f>
        <v>6534816212545.28</v>
      </c>
      <c r="I28" s="50" t="n">
        <f aca="false">'AZ6 RZ1 (ACCIDENT)'!BB61</f>
        <v>217827207084.843</v>
      </c>
      <c r="J28" s="50" t="n">
        <f aca="false">'AZ6 RZ1 (ACCIDENT)'!BC61</f>
        <v>2178272070.84843</v>
      </c>
      <c r="K28" s="50" t="n">
        <f aca="false">'AZ6 RZ1 (ACCIDENT)'!BD61</f>
        <v>1089136035.42421</v>
      </c>
    </row>
    <row r="29" customFormat="false" ht="14.25" hidden="false" customHeight="false" outlineLevel="0" collapsed="false">
      <c r="D29" s="49" t="s">
        <v>333</v>
      </c>
      <c r="E29" s="50" t="n">
        <f aca="false">'AZ6 RZ1 (ACCIDENT)'!AX91</f>
        <v>69158317722410900</v>
      </c>
      <c r="F29" s="50" t="n">
        <f aca="false">'AZ6 RZ1 (ACCIDENT)'!AY91</f>
        <v>69158317722410900</v>
      </c>
      <c r="G29" s="50" t="n">
        <f aca="false">'AZ6 RZ1 (ACCIDENT)'!AZ91</f>
        <v>69158317722410900</v>
      </c>
      <c r="H29" s="50" t="n">
        <f aca="false">'AZ6 RZ1 (ACCIDENT)'!BA91</f>
        <v>345791588612.055</v>
      </c>
      <c r="I29" s="50" t="n">
        <f aca="false">'AZ6 RZ1 (ACCIDENT)'!BB91</f>
        <v>11526386287.0685</v>
      </c>
      <c r="J29" s="50" t="n">
        <f aca="false">'AZ6 RZ1 (ACCIDENT)'!BC91</f>
        <v>115263862.870685</v>
      </c>
      <c r="K29" s="50" t="n">
        <f aca="false">'AZ6 RZ1 (ACCIDENT)'!BD91</f>
        <v>57631931.4353424</v>
      </c>
    </row>
    <row r="30" customFormat="false" ht="14.25" hidden="false" customHeight="false" outlineLevel="0" collapsed="false">
      <c r="D30" s="49" t="s">
        <v>339</v>
      </c>
      <c r="E30" s="50" t="n">
        <f aca="false">'AZ6 RZ1 (ACCIDENT)'!AX92</f>
        <v>37303794938699900</v>
      </c>
      <c r="F30" s="50" t="n">
        <f aca="false">'AZ6 RZ1 (ACCIDENT)'!AY92</f>
        <v>37303794938699900</v>
      </c>
      <c r="G30" s="50" t="n">
        <f aca="false">'AZ6 RZ1 (ACCIDENT)'!AZ92</f>
        <v>37303794938699900</v>
      </c>
      <c r="H30" s="50" t="n">
        <f aca="false">'AZ6 RZ1 (ACCIDENT)'!BA92</f>
        <v>186518974693.5</v>
      </c>
      <c r="I30" s="50" t="n">
        <f aca="false">'AZ6 RZ1 (ACCIDENT)'!BB92</f>
        <v>6217299156.44999</v>
      </c>
      <c r="J30" s="50" t="n">
        <f aca="false">'AZ6 RZ1 (ACCIDENT)'!BC92</f>
        <v>62172991.5644999</v>
      </c>
      <c r="K30" s="50" t="n">
        <f aca="false">'AZ6 RZ1 (ACCIDENT)'!BD92</f>
        <v>31086495.7822499</v>
      </c>
    </row>
    <row r="31" customFormat="false" ht="14.25" hidden="false" customHeight="false" outlineLevel="0" collapsed="false">
      <c r="D31" s="49" t="s">
        <v>175</v>
      </c>
      <c r="E31" s="50" t="n">
        <f aca="false">'AZ6 RZ1 (ACCIDENT)'!AX52</f>
        <v>29058507843982300</v>
      </c>
      <c r="F31" s="50" t="n">
        <f aca="false">'AZ6 RZ1 (ACCIDENT)'!AY52</f>
        <v>29058507843982300</v>
      </c>
      <c r="G31" s="50" t="n">
        <f aca="false">'AZ6 RZ1 (ACCIDENT)'!AZ52</f>
        <v>290585078439823</v>
      </c>
      <c r="H31" s="50" t="n">
        <f aca="false">'AZ6 RZ1 (ACCIDENT)'!BA52</f>
        <v>145292539.219912</v>
      </c>
      <c r="I31" s="50" t="n">
        <f aca="false">'AZ6 RZ1 (ACCIDENT)'!BB52</f>
        <v>4843084.64066372</v>
      </c>
      <c r="J31" s="50" t="n">
        <f aca="false">'AZ6 RZ1 (ACCIDENT)'!BC52</f>
        <v>48430.8464066372</v>
      </c>
      <c r="K31" s="50" t="n">
        <f aca="false">'AZ6 RZ1 (ACCIDENT)'!BD52</f>
        <v>24215.4232033186</v>
      </c>
    </row>
    <row r="32" customFormat="false" ht="14.25" hidden="false" customHeight="false" outlineLevel="0" collapsed="false">
      <c r="D32" s="49" t="s">
        <v>322</v>
      </c>
      <c r="E32" s="50" t="n">
        <f aca="false">'AZ6 RZ1 (ACCIDENT)'!AX88</f>
        <v>6057381840396726</v>
      </c>
      <c r="F32" s="50" t="n">
        <f aca="false">'AZ6 RZ1 (ACCIDENT)'!AY88</f>
        <v>6057381840396726</v>
      </c>
      <c r="G32" s="50" t="n">
        <f aca="false">'AZ6 RZ1 (ACCIDENT)'!AZ88</f>
        <v>121147636807935</v>
      </c>
      <c r="H32" s="50" t="n">
        <f aca="false">'AZ6 RZ1 (ACCIDENT)'!BA88</f>
        <v>60573818.4039673</v>
      </c>
      <c r="I32" s="50" t="n">
        <f aca="false">'AZ6 RZ1 (ACCIDENT)'!BB88</f>
        <v>2019127.28013224</v>
      </c>
      <c r="J32" s="50" t="n">
        <f aca="false">'AZ6 RZ1 (ACCIDENT)'!BC88</f>
        <v>20191.2728013224</v>
      </c>
      <c r="K32" s="50" t="n">
        <f aca="false">'AZ6 RZ1 (ACCIDENT)'!BD88</f>
        <v>10095.6364006612</v>
      </c>
    </row>
    <row r="33" customFormat="false" ht="14.25" hidden="false" customHeight="false" outlineLevel="0" collapsed="false">
      <c r="D33" s="49" t="s">
        <v>185</v>
      </c>
      <c r="E33" s="50" t="n">
        <f aca="false">'AZ6 RZ1 (ACCIDENT)'!AX54</f>
        <v>3676019143247116</v>
      </c>
      <c r="F33" s="50" t="n">
        <f aca="false">'AZ6 RZ1 (ACCIDENT)'!AY54</f>
        <v>3676019143247116</v>
      </c>
      <c r="G33" s="50" t="n">
        <f aca="false">'AZ6 RZ1 (ACCIDENT)'!AZ54</f>
        <v>36760191432471.2</v>
      </c>
      <c r="H33" s="50" t="n">
        <f aca="false">'AZ6 RZ1 (ACCIDENT)'!BA54</f>
        <v>18380095.7162356</v>
      </c>
      <c r="I33" s="50" t="n">
        <f aca="false">'AZ6 RZ1 (ACCIDENT)'!BB54</f>
        <v>612669.857207853</v>
      </c>
      <c r="J33" s="50" t="n">
        <f aca="false">'AZ6 RZ1 (ACCIDENT)'!BC54</f>
        <v>6126.69857207853</v>
      </c>
      <c r="K33" s="50" t="n">
        <f aca="false">'AZ6 RZ1 (ACCIDENT)'!BD54</f>
        <v>3063.34928603926</v>
      </c>
    </row>
    <row r="34" customFormat="false" ht="14.25" hidden="false" customHeight="false" outlineLevel="0" collapsed="false">
      <c r="D34" s="49" t="s">
        <v>180</v>
      </c>
      <c r="E34" s="50" t="n">
        <f aca="false">'AZ6 RZ1 (ACCIDENT)'!AX53</f>
        <v>3292637387518330</v>
      </c>
      <c r="F34" s="50" t="n">
        <f aca="false">'AZ6 RZ1 (ACCIDENT)'!AY53</f>
        <v>3292637387518330</v>
      </c>
      <c r="G34" s="50" t="n">
        <f aca="false">'AZ6 RZ1 (ACCIDENT)'!AZ53</f>
        <v>32926373875183.3</v>
      </c>
      <c r="H34" s="50" t="n">
        <f aca="false">'AZ6 RZ1 (ACCIDENT)'!BA53</f>
        <v>16463186.9375916</v>
      </c>
      <c r="I34" s="50" t="n">
        <f aca="false">'AZ6 RZ1 (ACCIDENT)'!BB53</f>
        <v>548772.897919721</v>
      </c>
      <c r="J34" s="50" t="n">
        <f aca="false">'AZ6 RZ1 (ACCIDENT)'!BC53</f>
        <v>5487.72897919721</v>
      </c>
      <c r="K34" s="50" t="n">
        <f aca="false">'AZ6 RZ1 (ACCIDENT)'!BD53</f>
        <v>2743.86448959861</v>
      </c>
    </row>
    <row r="35" customFormat="false" ht="14.25" hidden="false" customHeight="false" outlineLevel="0" collapsed="false">
      <c r="D35" s="79" t="s">
        <v>201</v>
      </c>
      <c r="E35" s="50" t="n">
        <f aca="false">'AZ6 RZ1 (ACCIDENT)'!AX58</f>
        <v>495255444127021</v>
      </c>
      <c r="F35" s="50" t="n">
        <f aca="false">'AZ6 RZ1 (ACCIDENT)'!AY58</f>
        <v>495255444127021</v>
      </c>
      <c r="G35" s="50" t="n">
        <f aca="false">'AZ6 RZ1 (ACCIDENT)'!AZ58</f>
        <v>4952554441270.22</v>
      </c>
      <c r="H35" s="50" t="n">
        <f aca="false">'AZ6 RZ1 (ACCIDENT)'!BA58</f>
        <v>2476277.22063511</v>
      </c>
      <c r="I35" s="50" t="n">
        <f aca="false">'AZ6 RZ1 (ACCIDENT)'!BB58</f>
        <v>82542.5740211702</v>
      </c>
      <c r="J35" s="50" t="n">
        <f aca="false">'AZ6 RZ1 (ACCIDENT)'!BC58</f>
        <v>825.425740211702</v>
      </c>
      <c r="K35" s="66" t="n">
        <f aca="false">'AZ6 RZ1 (ACCIDENT)'!BD58</f>
        <v>412.712870105851</v>
      </c>
    </row>
    <row r="36" customFormat="false" ht="14.25" hidden="false" customHeight="false" outlineLevel="0" collapsed="false">
      <c r="D36" s="49" t="s">
        <v>206</v>
      </c>
      <c r="E36" s="50" t="n">
        <f aca="false">'AZ6 RZ1 (ACCIDENT)'!AX59</f>
        <v>231416878999564</v>
      </c>
      <c r="F36" s="50" t="n">
        <f aca="false">'AZ6 RZ1 (ACCIDENT)'!AY59</f>
        <v>231416878999564</v>
      </c>
      <c r="G36" s="50" t="n">
        <f aca="false">'AZ6 RZ1 (ACCIDENT)'!AZ59</f>
        <v>2314168789995.64</v>
      </c>
      <c r="H36" s="50" t="n">
        <f aca="false">'AZ6 RZ1 (ACCIDENT)'!BA59</f>
        <v>1157084.39499782</v>
      </c>
      <c r="I36" s="50" t="n">
        <f aca="false">'AZ6 RZ1 (ACCIDENT)'!BB59</f>
        <v>38569.4798332607</v>
      </c>
      <c r="J36" s="50" t="n">
        <f aca="false">'AZ6 RZ1 (ACCIDENT)'!BC59</f>
        <v>385.694798332607</v>
      </c>
      <c r="K36" s="66" t="n">
        <f aca="false">'AZ6 RZ1 (ACCIDENT)'!BD59</f>
        <v>192.847399166304</v>
      </c>
    </row>
    <row r="37" customFormat="false" ht="14.25" hidden="false" customHeight="false" outlineLevel="0" collapsed="false">
      <c r="D37" s="49" t="s">
        <v>109</v>
      </c>
      <c r="E37" s="50" t="n">
        <f aca="false">'AZ6 RZ1 (ACCIDENT)'!AX27</f>
        <v>197430763636864</v>
      </c>
      <c r="F37" s="50" t="n">
        <f aca="false">'AZ6 RZ1 (ACCIDENT)'!AY27</f>
        <v>197430763636864</v>
      </c>
      <c r="G37" s="50" t="n">
        <f aca="false">'AZ6 RZ1 (ACCIDENT)'!AZ27</f>
        <v>3948615272737.28</v>
      </c>
      <c r="H37" s="50" t="n">
        <f aca="false">'AZ6 RZ1 (ACCIDENT)'!BA27</f>
        <v>1974307.63636864</v>
      </c>
      <c r="I37" s="50" t="n">
        <f aca="false">'AZ6 RZ1 (ACCIDENT)'!BB27</f>
        <v>658102.545456213</v>
      </c>
      <c r="J37" s="50" t="n">
        <f aca="false">'AZ6 RZ1 (ACCIDENT)'!BC27</f>
        <v>6581.02545456213</v>
      </c>
      <c r="K37" s="66" t="n">
        <f aca="false">'AZ6 RZ1 (ACCIDENT)'!BD27</f>
        <v>3290.51272728106</v>
      </c>
    </row>
    <row r="38" customFormat="false" ht="14.25" hidden="false" customHeight="false" outlineLevel="0" collapsed="false">
      <c r="D38" s="49" t="s">
        <v>246</v>
      </c>
      <c r="E38" s="50" t="n">
        <f aca="false">'AZ6 RZ1 (ACCIDENT)'!AX68</f>
        <v>27371986564207.1</v>
      </c>
      <c r="F38" s="50" t="n">
        <f aca="false">'AZ6 RZ1 (ACCIDENT)'!AY68</f>
        <v>27371986564207.1</v>
      </c>
      <c r="G38" s="50" t="n">
        <f aca="false">'AZ6 RZ1 (ACCIDENT)'!AZ68</f>
        <v>547439731284.142</v>
      </c>
      <c r="H38" s="50" t="n">
        <f aca="false">'AZ6 RZ1 (ACCIDENT)'!BA68</f>
        <v>273719.865642071</v>
      </c>
      <c r="I38" s="50" t="n">
        <f aca="false">'AZ6 RZ1 (ACCIDENT)'!BB68</f>
        <v>91239.9552140236</v>
      </c>
      <c r="J38" s="50" t="n">
        <f aca="false">'AZ6 RZ1 (ACCIDENT)'!BC68</f>
        <v>912.399552140236</v>
      </c>
      <c r="K38" s="66" t="n">
        <f aca="false">'AZ6 RZ1 (ACCIDENT)'!BD68</f>
        <v>456.199776070118</v>
      </c>
    </row>
    <row r="39" customFormat="false" ht="14.25" hidden="false" customHeight="false" outlineLevel="0" collapsed="false">
      <c r="D39" s="49" t="s">
        <v>196</v>
      </c>
      <c r="E39" s="50" t="n">
        <f aca="false">'AZ6 RZ1 (ACCIDENT)'!AX57</f>
        <v>23434880084916.5</v>
      </c>
      <c r="F39" s="50" t="n">
        <f aca="false">'AZ6 RZ1 (ACCIDENT)'!AY57</f>
        <v>23434880084916.5</v>
      </c>
      <c r="G39" s="50" t="n">
        <f aca="false">'AZ6 RZ1 (ACCIDENT)'!AZ57</f>
        <v>234348800849.165</v>
      </c>
      <c r="H39" s="50" t="n">
        <f aca="false">'AZ6 RZ1 (ACCIDENT)'!BA57</f>
        <v>117174.400424583</v>
      </c>
      <c r="I39" s="50" t="n">
        <f aca="false">'AZ6 RZ1 (ACCIDENT)'!BB57</f>
        <v>3905.81334748609</v>
      </c>
      <c r="J39" s="50" t="n">
        <f aca="false">'AZ6 RZ1 (ACCIDENT)'!BC57</f>
        <v>39.0581334748609</v>
      </c>
      <c r="K39" s="66" t="n">
        <f aca="false">'AZ6 RZ1 (ACCIDENT)'!BD57</f>
        <v>19.5290667374305</v>
      </c>
    </row>
    <row r="40" customFormat="false" ht="14.25" hidden="false" customHeight="false" outlineLevel="0" collapsed="false">
      <c r="D40" s="49" t="s">
        <v>74</v>
      </c>
      <c r="E40" s="50" t="n">
        <f aca="false">'AZ6 RZ1 (ACCIDENT)'!AX13</f>
        <v>6341465864722.29</v>
      </c>
      <c r="F40" s="50" t="n">
        <f aca="false">'AZ6 RZ1 (ACCIDENT)'!AY13</f>
        <v>6341465864722.29</v>
      </c>
      <c r="G40" s="50" t="n">
        <f aca="false">'AZ6 RZ1 (ACCIDENT)'!AZ13</f>
        <v>6341465864722.29</v>
      </c>
      <c r="H40" s="50" t="n">
        <f aca="false">'AZ6 RZ1 (ACCIDENT)'!BA13</f>
        <v>3170732.93236115</v>
      </c>
      <c r="I40" s="50" t="n">
        <f aca="false">'AZ6 RZ1 (ACCIDENT)'!BB13</f>
        <v>1056910.97745372</v>
      </c>
      <c r="J40" s="50" t="n">
        <f aca="false">'AZ6 RZ1 (ACCIDENT)'!BC13</f>
        <v>10569.1097745372</v>
      </c>
      <c r="K40" s="66" t="n">
        <f aca="false">'AZ6 RZ1 (ACCIDENT)'!BD13</f>
        <v>5284.55488726858</v>
      </c>
    </row>
    <row r="41" customFormat="false" ht="14.25" hidden="false" customHeight="false" outlineLevel="0" collapsed="false">
      <c r="D41" s="49" t="s">
        <v>293</v>
      </c>
      <c r="E41" s="50" t="n">
        <f aca="false">'AZ6 RZ1 (ACCIDENT)'!AX81</f>
        <v>5684443701501.17</v>
      </c>
      <c r="F41" s="50" t="n">
        <f aca="false">'AZ6 RZ1 (ACCIDENT)'!AY81</f>
        <v>5684443701501.17</v>
      </c>
      <c r="G41" s="50" t="n">
        <f aca="false">'AZ6 RZ1 (ACCIDENT)'!AZ81</f>
        <v>56844437015.0117</v>
      </c>
      <c r="H41" s="50" t="n">
        <f aca="false">'AZ6 RZ1 (ACCIDENT)'!BA81</f>
        <v>28422.2185075059</v>
      </c>
      <c r="I41" s="50" t="n">
        <f aca="false">'AZ6 RZ1 (ACCIDENT)'!BB81</f>
        <v>947.407283583529</v>
      </c>
      <c r="J41" s="50" t="n">
        <f aca="false">'AZ6 RZ1 (ACCIDENT)'!BC81</f>
        <v>9.47407283583529</v>
      </c>
      <c r="K41" s="66" t="n">
        <f aca="false">'AZ6 RZ1 (ACCIDENT)'!BD81</f>
        <v>4.73703641791764</v>
      </c>
    </row>
    <row r="42" customFormat="false" ht="14.25" hidden="false" customHeight="false" outlineLevel="0" collapsed="false">
      <c r="D42" s="49" t="s">
        <v>157</v>
      </c>
      <c r="E42" s="50" t="n">
        <f aca="false">'AZ6 RZ1 (ACCIDENT)'!AX47</f>
        <v>4409829331614.61</v>
      </c>
      <c r="F42" s="50" t="n">
        <f aca="false">'AZ6 RZ1 (ACCIDENT)'!AY47</f>
        <v>4409829331614.61</v>
      </c>
      <c r="G42" s="50" t="n">
        <f aca="false">'AZ6 RZ1 (ACCIDENT)'!AZ47</f>
        <v>44098293316.1461</v>
      </c>
      <c r="H42" s="50" t="n">
        <f aca="false">'AZ6 RZ1 (ACCIDENT)'!BA47</f>
        <v>22049.146658073</v>
      </c>
      <c r="I42" s="50" t="n">
        <f aca="false">'AZ6 RZ1 (ACCIDENT)'!BB47</f>
        <v>734.971555269101</v>
      </c>
      <c r="J42" s="50" t="n">
        <f aca="false">'AZ6 RZ1 (ACCIDENT)'!BC47</f>
        <v>7.34971555269101</v>
      </c>
      <c r="K42" s="66" t="n">
        <f aca="false">'AZ6 RZ1 (ACCIDENT)'!BD47</f>
        <v>3.67485777634551</v>
      </c>
    </row>
    <row r="43" customFormat="false" ht="14.25" hidden="false" customHeight="false" outlineLevel="0" collapsed="false">
      <c r="D43" s="49" t="s">
        <v>151</v>
      </c>
      <c r="E43" s="50" t="n">
        <f aca="false">'AZ6 RZ1 (ACCIDENT)'!AX45</f>
        <v>1233923439691.69</v>
      </c>
      <c r="F43" s="50" t="n">
        <f aca="false">'AZ6 RZ1 (ACCIDENT)'!AY45</f>
        <v>1233923439691.69</v>
      </c>
      <c r="G43" s="50" t="n">
        <f aca="false">'AZ6 RZ1 (ACCIDENT)'!AZ45</f>
        <v>12339234396.9169</v>
      </c>
      <c r="H43" s="50" t="n">
        <f aca="false">'AZ6 RZ1 (ACCIDENT)'!BA45</f>
        <v>6169.61719845845</v>
      </c>
      <c r="I43" s="50" t="n">
        <f aca="false">'AZ6 RZ1 (ACCIDENT)'!BB45</f>
        <v>205.653906615282</v>
      </c>
      <c r="J43" s="50" t="n">
        <f aca="false">'AZ6 RZ1 (ACCIDENT)'!BC45</f>
        <v>2.05653906615282</v>
      </c>
      <c r="K43" s="66" t="n">
        <f aca="false">'AZ6 RZ1 (ACCIDENT)'!BD45</f>
        <v>1.02826953307641</v>
      </c>
    </row>
    <row r="44" customFormat="false" ht="14.25" hidden="false" customHeight="false" outlineLevel="0" collapsed="false">
      <c r="D44" s="49" t="s">
        <v>61</v>
      </c>
      <c r="E44" s="50" t="n">
        <f aca="false">'AZ6 RZ1 (ACCIDENT)'!AX10</f>
        <v>1057835142355.89</v>
      </c>
      <c r="F44" s="50" t="n">
        <f aca="false">'AZ6 RZ1 (ACCIDENT)'!AY10</f>
        <v>1057835142355.89</v>
      </c>
      <c r="G44" s="50" t="n">
        <f aca="false">'AZ6 RZ1 (ACCIDENT)'!AZ10</f>
        <v>1057835142355.89</v>
      </c>
      <c r="H44" s="50" t="n">
        <f aca="false">'AZ6 RZ1 (ACCIDENT)'!BA10</f>
        <v>10578351423.5589</v>
      </c>
      <c r="I44" s="50" t="n">
        <f aca="false">'AZ6 RZ1 (ACCIDENT)'!BB10</f>
        <v>10578351423.5589</v>
      </c>
      <c r="J44" s="50" t="n">
        <f aca="false">'AZ6 RZ1 (ACCIDENT)'!BC10</f>
        <v>105783514.235589</v>
      </c>
      <c r="K44" s="66" t="n">
        <f aca="false">'AZ6 RZ1 (ACCIDENT)'!BD10</f>
        <v>52891757.1177946</v>
      </c>
    </row>
    <row r="45" customFormat="false" ht="14.25" hidden="false" customHeight="false" outlineLevel="0" collapsed="false">
      <c r="D45" s="49" t="s">
        <v>134</v>
      </c>
      <c r="E45" s="50" t="n">
        <f aca="false">'AZ6 RZ1 (ACCIDENT)'!AX38</f>
        <v>975002143572.285</v>
      </c>
      <c r="F45" s="50" t="n">
        <f aca="false">'AZ6 RZ1 (ACCIDENT)'!AY38</f>
        <v>975002143572.285</v>
      </c>
      <c r="G45" s="50" t="n">
        <f aca="false">'AZ6 RZ1 (ACCIDENT)'!AZ38</f>
        <v>9750021435.72285</v>
      </c>
      <c r="H45" s="50" t="n">
        <f aca="false">'AZ6 RZ1 (ACCIDENT)'!BA38</f>
        <v>4875.01071786142</v>
      </c>
      <c r="I45" s="50" t="n">
        <f aca="false">'AZ6 RZ1 (ACCIDENT)'!BB38</f>
        <v>162.500357262047</v>
      </c>
      <c r="J45" s="50" t="n">
        <f aca="false">'AZ6 RZ1 (ACCIDENT)'!BC38</f>
        <v>1.62500357262047</v>
      </c>
      <c r="K45" s="66" t="n">
        <f aca="false">'AZ6 RZ1 (ACCIDENT)'!BD38</f>
        <v>0.812501786310237</v>
      </c>
    </row>
    <row r="46" customFormat="false" ht="14.25" hidden="false" customHeight="false" outlineLevel="0" collapsed="false">
      <c r="D46" s="49" t="s">
        <v>98</v>
      </c>
      <c r="E46" s="50" t="n">
        <f aca="false">'AZ6 RZ1 (ACCIDENT)'!AX22</f>
        <v>331387605198.016</v>
      </c>
      <c r="F46" s="50" t="n">
        <f aca="false">'AZ6 RZ1 (ACCIDENT)'!AY22</f>
        <v>331387605198.016</v>
      </c>
      <c r="G46" s="50" t="n">
        <f aca="false">'AZ6 RZ1 (ACCIDENT)'!AZ22</f>
        <v>66277521039.6031</v>
      </c>
      <c r="H46" s="50" t="n">
        <f aca="false">'AZ6 RZ1 (ACCIDENT)'!BA22</f>
        <v>33138.7605198016</v>
      </c>
      <c r="I46" s="50" t="n">
        <f aca="false">'AZ6 RZ1 (ACCIDENT)'!BB22</f>
        <v>33138.7605198016</v>
      </c>
      <c r="J46" s="50" t="n">
        <f aca="false">'AZ6 RZ1 (ACCIDENT)'!BC22</f>
        <v>331.387605198016</v>
      </c>
      <c r="K46" s="66" t="n">
        <f aca="false">'AZ6 RZ1 (ACCIDENT)'!BD22</f>
        <v>165.693802599008</v>
      </c>
    </row>
    <row r="47" customFormat="false" ht="14.25" hidden="false" customHeight="false" outlineLevel="0" collapsed="false">
      <c r="D47" s="49" t="s">
        <v>68</v>
      </c>
      <c r="E47" s="50" t="n">
        <f aca="false">'AZ6 RZ1 (ACCIDENT)'!AX12</f>
        <v>347811840.100057</v>
      </c>
      <c r="F47" s="50" t="n">
        <f aca="false">'AZ6 RZ1 (ACCIDENT)'!AY12</f>
        <v>347811840.100057</v>
      </c>
      <c r="G47" s="50" t="n">
        <f aca="false">'AZ6 RZ1 (ACCIDENT)'!AZ12</f>
        <v>347811840.100057</v>
      </c>
      <c r="H47" s="50" t="n">
        <f aca="false">'AZ6 RZ1 (ACCIDENT)'!BA12</f>
        <v>173.905920050029</v>
      </c>
      <c r="I47" s="50" t="n">
        <f aca="false">'AZ6 RZ1 (ACCIDENT)'!BB12</f>
        <v>57.9686400166762</v>
      </c>
      <c r="J47" s="50" t="n">
        <f aca="false">'AZ6 RZ1 (ACCIDENT)'!BC12</f>
        <v>0.579686400166762</v>
      </c>
      <c r="K47" s="66" t="n">
        <f aca="false">'AZ6 RZ1 (ACCIDENT)'!BD12</f>
        <v>0.289843200083381</v>
      </c>
    </row>
    <row r="48" customFormat="false" ht="14.25" hidden="false" customHeight="false" outlineLevel="0" collapsed="false">
      <c r="D48" s="49" t="s">
        <v>309</v>
      </c>
      <c r="E48" s="50" t="n">
        <f aca="false">'AZ6 RZ1 (ACCIDENT)'!AX85</f>
        <v>9045087.68349635</v>
      </c>
      <c r="F48" s="50" t="n">
        <f aca="false">'AZ6 RZ1 (ACCIDENT)'!AY85</f>
        <v>9045087.68349635</v>
      </c>
      <c r="G48" s="50" t="n">
        <f aca="false">'AZ6 RZ1 (ACCIDENT)'!AZ85</f>
        <v>180901.753669927</v>
      </c>
      <c r="H48" s="50" t="n">
        <f aca="false">'AZ6 RZ1 (ACCIDENT)'!BA85</f>
        <v>0.0904508768349635</v>
      </c>
      <c r="I48" s="50" t="n">
        <f aca="false">'AZ6 RZ1 (ACCIDENT)'!BB85</f>
        <v>0.00301502922783212</v>
      </c>
      <c r="J48" s="50" t="n">
        <f aca="false">'AZ6 RZ1 (ACCIDENT)'!BC85</f>
        <v>3.01502922783212E-005</v>
      </c>
      <c r="K48" s="66" t="n">
        <f aca="false">'AZ6 RZ1 (ACCIDENT)'!BD85</f>
        <v>1.50751461391606E-005</v>
      </c>
    </row>
    <row r="49" customFormat="false" ht="14.25" hidden="false" customHeight="false" outlineLevel="0" collapsed="false">
      <c r="D49" s="49"/>
      <c r="E49" s="50"/>
      <c r="F49" s="50"/>
      <c r="G49" s="50"/>
      <c r="H49" s="50"/>
      <c r="I49" s="50"/>
      <c r="J49" s="50"/>
      <c r="K49" s="66"/>
    </row>
    <row r="50" customFormat="false" ht="14.25" hidden="false" customHeight="false" outlineLevel="0" collapsed="false">
      <c r="D50" s="49" t="s">
        <v>349</v>
      </c>
      <c r="E50" s="50"/>
      <c r="F50" s="50"/>
      <c r="G50" s="50"/>
      <c r="H50" s="50"/>
      <c r="I50" s="50"/>
      <c r="J50" s="50"/>
      <c r="K50" s="66"/>
    </row>
    <row r="51" customFormat="false" ht="14.25" hidden="false" customHeight="false" outlineLevel="0" collapsed="false">
      <c r="D51" s="49"/>
      <c r="E51" s="50"/>
      <c r="F51" s="50"/>
      <c r="G51" s="50"/>
      <c r="H51" s="50"/>
      <c r="I51" s="50"/>
      <c r="J51" s="50"/>
      <c r="K51" s="66"/>
    </row>
    <row r="52" customFormat="false" ht="14.25" hidden="false" customHeight="false" outlineLevel="0" collapsed="false">
      <c r="D52" s="49"/>
      <c r="E52" s="50"/>
      <c r="F52" s="50"/>
      <c r="G52" s="50"/>
      <c r="H52" s="50"/>
      <c r="I52" s="50"/>
      <c r="J52" s="50"/>
      <c r="K52" s="66"/>
    </row>
    <row r="53" customFormat="false" ht="14.25" hidden="false" customHeight="false" outlineLevel="0" collapsed="false">
      <c r="D53" s="49"/>
      <c r="E53" s="50"/>
      <c r="F53" s="50"/>
      <c r="G53" s="50"/>
      <c r="H53" s="50"/>
      <c r="I53" s="50"/>
      <c r="J53" s="50"/>
      <c r="K53" s="66"/>
    </row>
    <row r="54" customFormat="false" ht="14.25" hidden="false" customHeight="false" outlineLevel="0" collapsed="false">
      <c r="D54" s="49"/>
      <c r="E54" s="50"/>
      <c r="F54" s="50"/>
      <c r="G54" s="50"/>
      <c r="H54" s="50"/>
      <c r="I54" s="50"/>
      <c r="J54" s="50"/>
      <c r="K54" s="66"/>
    </row>
    <row r="55" customFormat="false" ht="14.25" hidden="false" customHeight="false" outlineLevel="0" collapsed="false">
      <c r="D55" s="49"/>
      <c r="E55" s="50"/>
      <c r="F55" s="50"/>
      <c r="G55" s="50"/>
      <c r="H55" s="50"/>
      <c r="I55" s="50"/>
      <c r="J55" s="50"/>
      <c r="K55" s="66"/>
    </row>
    <row r="56" customFormat="false" ht="14.25" hidden="false" customHeight="false" outlineLevel="0" collapsed="false">
      <c r="D56" s="49"/>
      <c r="E56" s="50"/>
      <c r="F56" s="50"/>
      <c r="G56" s="50"/>
      <c r="H56" s="50"/>
      <c r="I56" s="50"/>
      <c r="J56" s="50"/>
      <c r="K56" s="66"/>
    </row>
    <row r="57" customFormat="false" ht="14.25" hidden="false" customHeight="false" outlineLevel="0" collapsed="false">
      <c r="D57" s="49"/>
      <c r="E57" s="50"/>
      <c r="F57" s="50"/>
      <c r="G57" s="50"/>
      <c r="H57" s="50"/>
      <c r="I57" s="50"/>
      <c r="J57" s="50"/>
      <c r="K57" s="66"/>
    </row>
    <row r="58" customFormat="false" ht="14.25" hidden="false" customHeight="false" outlineLevel="0" collapsed="false">
      <c r="D58" s="49"/>
      <c r="E58" s="50"/>
      <c r="F58" s="50"/>
      <c r="G58" s="50"/>
      <c r="H58" s="50"/>
      <c r="I58" s="50"/>
      <c r="J58" s="50"/>
      <c r="K58" s="66"/>
    </row>
    <row r="59" customFormat="false" ht="14.25" hidden="false" customHeight="false" outlineLevel="0" collapsed="false">
      <c r="D59" s="49"/>
      <c r="E59" s="50"/>
      <c r="F59" s="50"/>
      <c r="G59" s="50"/>
      <c r="H59" s="50"/>
      <c r="I59" s="50"/>
      <c r="J59" s="50"/>
      <c r="K59" s="66"/>
    </row>
  </sheetData>
  <mergeCells count="2">
    <mergeCell ref="D5:D6"/>
    <mergeCell ref="E5:K5"/>
  </mergeCells>
  <conditionalFormatting sqref="D7:D59">
    <cfRule type="cellIs" priority="2" operator="equal" aboveAverage="0" equalAverage="0" bottom="0" percent="0" rank="0" text="" dxfId="16">
      <formula>0</formula>
    </cfRule>
  </conditionalFormatting>
  <conditionalFormatting sqref="K7:K59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2024-12-10T11:37:05Z</dcterms:created>
  <dc:creator>Iker Martínez Baroja</dc:creator>
  <dc:description/>
  <dc:language>en-US</dc:language>
  <cp:lastModifiedBy/>
  <dcterms:modified xsi:type="dcterms:W3CDTF">2026-10-21T08:55:21Z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