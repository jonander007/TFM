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dom-my.sharepoint.com/personal/iker_martinez_co_idom_com/Documents/Escritorio/TFG/KP-FHR/"/>
    </mc:Choice>
  </mc:AlternateContent>
  <xr:revisionPtr revIDLastSave="973" documentId="11_FADCA295FEC5A85F0FD5A730C892515944135660" xr6:coauthVersionLast="47" xr6:coauthVersionMax="47" xr10:uidLastSave="{999F0763-416A-46BA-ACAF-89740FAE8B71}"/>
  <bookViews>
    <workbookView xWindow="-120" yWindow="-120" windowWidth="29040" windowHeight="15720" xr2:uid="{00000000-000D-0000-FFFF-FFFF00000000}"/>
  </bookViews>
  <sheets>
    <sheet name="AZ6 RZ1 (ACCIDENT)" sheetId="11" r:id="rId1"/>
    <sheet name="AZ6 RZ1 (NO)" sheetId="8" r:id="rId2"/>
  </sheets>
  <definedNames>
    <definedName name="_xlnm._FilterDatabase" localSheetId="0" hidden="1">'AZ6 RZ1 (ACCIDENT)'!$B$3:$AJ$93</definedName>
    <definedName name="_xlnm._FilterDatabase" localSheetId="1" hidden="1">'AZ6 RZ1 (NO)'!$B$3:$AE$92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S2NZ0KgICD6aIMRIWubhuBbPmsnJHP6ATDE6L2bZy30="/>
    </ext>
  </extLst>
</workbook>
</file>

<file path=xl/calcChain.xml><?xml version="1.0" encoding="utf-8"?>
<calcChain xmlns="http://schemas.openxmlformats.org/spreadsheetml/2006/main">
  <c r="AD65" i="8" l="1"/>
  <c r="AC65" i="8"/>
  <c r="AD64" i="8"/>
  <c r="AC64" i="8"/>
  <c r="AD63" i="8"/>
  <c r="AC63" i="8"/>
  <c r="AD62" i="8"/>
  <c r="AC62" i="8"/>
  <c r="AD61" i="8"/>
  <c r="AC61" i="8"/>
  <c r="AD60" i="8"/>
  <c r="AC60" i="8"/>
  <c r="AD59" i="8"/>
  <c r="AC59" i="8"/>
  <c r="AD58" i="8"/>
  <c r="AC58" i="8"/>
  <c r="AD57" i="8"/>
  <c r="AC57" i="8"/>
  <c r="AD56" i="8"/>
  <c r="AC56" i="8"/>
  <c r="AD54" i="8"/>
  <c r="AC54" i="8"/>
  <c r="AD53" i="8"/>
  <c r="AC53" i="8"/>
  <c r="AD52" i="8"/>
  <c r="AC52" i="8"/>
  <c r="AD51" i="8"/>
  <c r="AC51" i="8"/>
  <c r="AD47" i="8"/>
  <c r="AC47" i="8"/>
  <c r="AD45" i="8"/>
  <c r="AC45" i="8"/>
  <c r="AD42" i="8"/>
  <c r="AC42" i="8"/>
  <c r="AD38" i="8"/>
  <c r="AC38" i="8"/>
  <c r="AD35" i="8"/>
  <c r="AC35" i="8"/>
  <c r="AD33" i="8"/>
  <c r="AC33" i="8"/>
  <c r="AD31" i="8"/>
  <c r="AC31" i="8"/>
  <c r="AD27" i="8"/>
  <c r="AC27" i="8"/>
  <c r="AD22" i="8"/>
  <c r="AC22" i="8"/>
  <c r="AD15" i="8"/>
  <c r="AC15" i="8"/>
  <c r="AD13" i="8"/>
  <c r="AC13" i="8"/>
  <c r="AD12" i="8"/>
  <c r="AC12" i="8"/>
  <c r="AD10" i="8"/>
  <c r="AC10" i="8"/>
  <c r="AB12" i="11"/>
  <c r="AC12" i="11"/>
  <c r="AB13" i="11"/>
  <c r="AC13" i="11"/>
  <c r="AB15" i="11"/>
  <c r="AC15" i="11"/>
  <c r="AB22" i="11"/>
  <c r="AC22" i="11"/>
  <c r="AB27" i="11"/>
  <c r="AC27" i="11"/>
  <c r="AB31" i="11"/>
  <c r="AC31" i="11"/>
  <c r="AB33" i="11"/>
  <c r="AC33" i="11"/>
  <c r="AB35" i="11"/>
  <c r="AC35" i="11"/>
  <c r="AB38" i="11"/>
  <c r="AC38" i="11"/>
  <c r="AB42" i="11"/>
  <c r="AC42" i="11"/>
  <c r="AB45" i="11"/>
  <c r="AC45" i="11"/>
  <c r="AB47" i="11"/>
  <c r="AC47" i="11"/>
  <c r="AB51" i="11"/>
  <c r="AC51" i="11"/>
  <c r="AB52" i="11"/>
  <c r="AC52" i="11"/>
  <c r="AB53" i="11"/>
  <c r="AC53" i="11"/>
  <c r="AB54" i="11"/>
  <c r="AC54" i="11"/>
  <c r="AB56" i="11"/>
  <c r="AC56" i="11"/>
  <c r="AB57" i="11"/>
  <c r="AC57" i="11"/>
  <c r="AB58" i="11"/>
  <c r="AC58" i="11"/>
  <c r="AB59" i="11"/>
  <c r="AC59" i="11"/>
  <c r="AB60" i="11"/>
  <c r="AC60" i="11"/>
  <c r="AB61" i="11"/>
  <c r="AC61" i="11"/>
  <c r="AB62" i="11"/>
  <c r="AC62" i="11"/>
  <c r="AB63" i="11"/>
  <c r="AC63" i="11"/>
  <c r="AB64" i="11"/>
  <c r="AC64" i="11"/>
  <c r="AB65" i="11"/>
  <c r="AC65" i="11"/>
  <c r="AM93" i="11"/>
  <c r="U93" i="11"/>
  <c r="P93" i="11"/>
  <c r="O93" i="11"/>
  <c r="Q93" i="11" s="1"/>
  <c r="M93" i="11"/>
  <c r="N93" i="11" s="1"/>
  <c r="AM92" i="11"/>
  <c r="U92" i="11"/>
  <c r="P92" i="11"/>
  <c r="O92" i="11"/>
  <c r="Q92" i="11" s="1"/>
  <c r="M92" i="11"/>
  <c r="N92" i="11" s="1"/>
  <c r="AM91" i="11"/>
  <c r="U91" i="11"/>
  <c r="P91" i="11"/>
  <c r="O91" i="11"/>
  <c r="Q91" i="11" s="1"/>
  <c r="M91" i="11"/>
  <c r="N91" i="11" s="1"/>
  <c r="AM90" i="11"/>
  <c r="U90" i="11"/>
  <c r="P90" i="11"/>
  <c r="O90" i="11"/>
  <c r="Q90" i="11" s="1"/>
  <c r="M90" i="11"/>
  <c r="N90" i="11" s="1"/>
  <c r="AM89" i="11"/>
  <c r="U89" i="11"/>
  <c r="P89" i="11"/>
  <c r="O89" i="11"/>
  <c r="Q89" i="11" s="1"/>
  <c r="M89" i="11"/>
  <c r="N89" i="11" s="1"/>
  <c r="AM88" i="11"/>
  <c r="U88" i="11"/>
  <c r="P88" i="11"/>
  <c r="O88" i="11"/>
  <c r="Q88" i="11" s="1"/>
  <c r="M88" i="11"/>
  <c r="N88" i="11" s="1"/>
  <c r="AM87" i="11"/>
  <c r="U87" i="11"/>
  <c r="P87" i="11"/>
  <c r="O87" i="11"/>
  <c r="Q87" i="11" s="1"/>
  <c r="M87" i="11"/>
  <c r="N87" i="11" s="1"/>
  <c r="AM86" i="11"/>
  <c r="U86" i="11"/>
  <c r="P86" i="11"/>
  <c r="O86" i="11"/>
  <c r="Q86" i="11" s="1"/>
  <c r="M86" i="11"/>
  <c r="N86" i="11" s="1"/>
  <c r="AM85" i="11"/>
  <c r="U85" i="11"/>
  <c r="P85" i="11"/>
  <c r="O85" i="11"/>
  <c r="Q85" i="11" s="1"/>
  <c r="M85" i="11"/>
  <c r="N85" i="11" s="1"/>
  <c r="AM84" i="11"/>
  <c r="U84" i="11"/>
  <c r="P84" i="11"/>
  <c r="O84" i="11"/>
  <c r="Q84" i="11" s="1"/>
  <c r="M84" i="11"/>
  <c r="N84" i="11" s="1"/>
  <c r="AM83" i="11"/>
  <c r="U83" i="11"/>
  <c r="P83" i="11"/>
  <c r="O83" i="11"/>
  <c r="Q83" i="11" s="1"/>
  <c r="R83" i="11" s="1"/>
  <c r="M83" i="11"/>
  <c r="N83" i="11" s="1"/>
  <c r="P82" i="11"/>
  <c r="O82" i="11"/>
  <c r="Q82" i="11" s="1"/>
  <c r="M82" i="11"/>
  <c r="AM81" i="11"/>
  <c r="U81" i="11"/>
  <c r="P81" i="11"/>
  <c r="O81" i="11"/>
  <c r="Q81" i="11" s="1"/>
  <c r="M81" i="11"/>
  <c r="N81" i="11" s="1"/>
  <c r="P80" i="11"/>
  <c r="O80" i="11"/>
  <c r="Q80" i="11" s="1"/>
  <c r="M80" i="11"/>
  <c r="AM79" i="11"/>
  <c r="U79" i="11"/>
  <c r="P79" i="11"/>
  <c r="O79" i="11"/>
  <c r="Q79" i="11" s="1"/>
  <c r="M79" i="11"/>
  <c r="N79" i="11" s="1"/>
  <c r="AM78" i="11"/>
  <c r="U78" i="11"/>
  <c r="P78" i="11"/>
  <c r="O78" i="11"/>
  <c r="Q78" i="11" s="1"/>
  <c r="M78" i="11"/>
  <c r="N78" i="11" s="1"/>
  <c r="AM77" i="11"/>
  <c r="U77" i="11"/>
  <c r="P77" i="11"/>
  <c r="O77" i="11"/>
  <c r="Q77" i="11" s="1"/>
  <c r="M77" i="11"/>
  <c r="N77" i="11" s="1"/>
  <c r="AM76" i="11"/>
  <c r="U76" i="11"/>
  <c r="P76" i="11"/>
  <c r="O76" i="11"/>
  <c r="Q76" i="11" s="1"/>
  <c r="M76" i="11"/>
  <c r="N76" i="11" s="1"/>
  <c r="AM75" i="11"/>
  <c r="U75" i="11"/>
  <c r="P75" i="11"/>
  <c r="O75" i="11"/>
  <c r="Q75" i="11" s="1"/>
  <c r="M75" i="11"/>
  <c r="N75" i="11" s="1"/>
  <c r="AM74" i="11"/>
  <c r="U74" i="11"/>
  <c r="P74" i="11"/>
  <c r="O74" i="11"/>
  <c r="Q74" i="11" s="1"/>
  <c r="M74" i="11"/>
  <c r="N74" i="11" s="1"/>
  <c r="AM73" i="11"/>
  <c r="U73" i="11"/>
  <c r="P73" i="11"/>
  <c r="O73" i="11"/>
  <c r="Q73" i="11" s="1"/>
  <c r="M73" i="11"/>
  <c r="N73" i="11" s="1"/>
  <c r="AM72" i="11"/>
  <c r="U72" i="11"/>
  <c r="P72" i="11"/>
  <c r="O72" i="11"/>
  <c r="Q72" i="11" s="1"/>
  <c r="M72" i="11"/>
  <c r="N72" i="11" s="1"/>
  <c r="AM71" i="11"/>
  <c r="U71" i="11"/>
  <c r="P71" i="11"/>
  <c r="O71" i="11"/>
  <c r="Q71" i="11" s="1"/>
  <c r="M71" i="11"/>
  <c r="N71" i="11" s="1"/>
  <c r="AM70" i="11"/>
  <c r="U70" i="11"/>
  <c r="P70" i="11"/>
  <c r="O70" i="11"/>
  <c r="Q70" i="11" s="1"/>
  <c r="R70" i="11" s="1"/>
  <c r="M70" i="11"/>
  <c r="N70" i="11" s="1"/>
  <c r="AM69" i="11"/>
  <c r="U69" i="11"/>
  <c r="P69" i="11"/>
  <c r="O69" i="11"/>
  <c r="Q69" i="11" s="1"/>
  <c r="M69" i="11"/>
  <c r="N69" i="11" s="1"/>
  <c r="P68" i="11"/>
  <c r="O68" i="11"/>
  <c r="Q68" i="11" s="1"/>
  <c r="M68" i="11"/>
  <c r="AM67" i="11"/>
  <c r="U67" i="11"/>
  <c r="P67" i="11"/>
  <c r="O67" i="11"/>
  <c r="Q67" i="11" s="1"/>
  <c r="M67" i="11"/>
  <c r="N67" i="11" s="1"/>
  <c r="AM65" i="11"/>
  <c r="U65" i="11"/>
  <c r="P65" i="11"/>
  <c r="O65" i="11"/>
  <c r="Q65" i="11" s="1"/>
  <c r="M65" i="11"/>
  <c r="N65" i="11" s="1"/>
  <c r="AM64" i="11"/>
  <c r="U64" i="11"/>
  <c r="P64" i="11"/>
  <c r="O64" i="11"/>
  <c r="Q64" i="11" s="1"/>
  <c r="M64" i="11"/>
  <c r="N64" i="11" s="1"/>
  <c r="AM63" i="11"/>
  <c r="U63" i="11"/>
  <c r="P63" i="11"/>
  <c r="O63" i="11"/>
  <c r="Q63" i="11" s="1"/>
  <c r="M63" i="11"/>
  <c r="N63" i="11" s="1"/>
  <c r="AM62" i="11"/>
  <c r="U62" i="11"/>
  <c r="P62" i="11"/>
  <c r="O62" i="11"/>
  <c r="Q62" i="11" s="1"/>
  <c r="I62" i="11"/>
  <c r="M62" i="11" s="1"/>
  <c r="N62" i="11" s="1"/>
  <c r="AM61" i="11"/>
  <c r="U61" i="11"/>
  <c r="P61" i="11"/>
  <c r="O61" i="11"/>
  <c r="Q61" i="11" s="1"/>
  <c r="M61" i="11"/>
  <c r="N61" i="11" s="1"/>
  <c r="AM60" i="11"/>
  <c r="U60" i="11"/>
  <c r="P60" i="11"/>
  <c r="O60" i="11"/>
  <c r="Q60" i="11" s="1"/>
  <c r="M60" i="11"/>
  <c r="N60" i="11" s="1"/>
  <c r="AM59" i="11"/>
  <c r="U59" i="11"/>
  <c r="P59" i="11"/>
  <c r="O59" i="11"/>
  <c r="Q59" i="11" s="1"/>
  <c r="R59" i="11" s="1"/>
  <c r="M59" i="11"/>
  <c r="N59" i="11" s="1"/>
  <c r="AM58" i="11"/>
  <c r="U58" i="11"/>
  <c r="P58" i="11"/>
  <c r="O58" i="11"/>
  <c r="Q58" i="11" s="1"/>
  <c r="M58" i="11"/>
  <c r="N58" i="11" s="1"/>
  <c r="AM57" i="11"/>
  <c r="U57" i="11"/>
  <c r="P57" i="11"/>
  <c r="O57" i="11"/>
  <c r="Q57" i="11" s="1"/>
  <c r="M57" i="11"/>
  <c r="N57" i="11" s="1"/>
  <c r="AM56" i="11"/>
  <c r="U56" i="11"/>
  <c r="P56" i="11"/>
  <c r="O56" i="11"/>
  <c r="Q56" i="11" s="1"/>
  <c r="R56" i="11" s="1"/>
  <c r="M56" i="11"/>
  <c r="N56" i="11" s="1"/>
  <c r="P55" i="11"/>
  <c r="O55" i="11"/>
  <c r="Q55" i="11" s="1"/>
  <c r="M55" i="11"/>
  <c r="AM54" i="11"/>
  <c r="U54" i="11"/>
  <c r="P54" i="11"/>
  <c r="O54" i="11"/>
  <c r="Q54" i="11" s="1"/>
  <c r="M54" i="11"/>
  <c r="N54" i="11" s="1"/>
  <c r="AM53" i="11"/>
  <c r="U53" i="11"/>
  <c r="P53" i="11"/>
  <c r="O53" i="11"/>
  <c r="Q53" i="11" s="1"/>
  <c r="M53" i="11"/>
  <c r="N53" i="11" s="1"/>
  <c r="AM52" i="11"/>
  <c r="U52" i="11"/>
  <c r="P52" i="11"/>
  <c r="O52" i="11"/>
  <c r="Q52" i="11" s="1"/>
  <c r="M52" i="11"/>
  <c r="N52" i="11" s="1"/>
  <c r="AM51" i="11"/>
  <c r="U51" i="11"/>
  <c r="P51" i="11"/>
  <c r="O51" i="11"/>
  <c r="Q51" i="11" s="1"/>
  <c r="M51" i="11"/>
  <c r="N51" i="11" s="1"/>
  <c r="P50" i="11"/>
  <c r="O50" i="11"/>
  <c r="Q50" i="11" s="1"/>
  <c r="M50" i="11"/>
  <c r="P49" i="11"/>
  <c r="O49" i="11"/>
  <c r="Q49" i="11" s="1"/>
  <c r="M49" i="11"/>
  <c r="P48" i="11"/>
  <c r="O48" i="11"/>
  <c r="Q48" i="11" s="1"/>
  <c r="M48" i="11"/>
  <c r="AM47" i="11"/>
  <c r="U47" i="11"/>
  <c r="P47" i="11"/>
  <c r="O47" i="11"/>
  <c r="Q47" i="11" s="1"/>
  <c r="M47" i="11"/>
  <c r="N47" i="11" s="1"/>
  <c r="P46" i="11"/>
  <c r="O46" i="11"/>
  <c r="Q46" i="11" s="1"/>
  <c r="M46" i="11"/>
  <c r="AM45" i="11"/>
  <c r="U45" i="11"/>
  <c r="P45" i="11"/>
  <c r="O45" i="11"/>
  <c r="Q45" i="11" s="1"/>
  <c r="M45" i="11"/>
  <c r="N45" i="11" s="1"/>
  <c r="P44" i="11"/>
  <c r="O44" i="11"/>
  <c r="Q44" i="11" s="1"/>
  <c r="R44" i="11" s="1"/>
  <c r="S44" i="11" s="1"/>
  <c r="AJ44" i="11" s="1"/>
  <c r="M44" i="11"/>
  <c r="P43" i="11"/>
  <c r="O43" i="11"/>
  <c r="Q43" i="11" s="1"/>
  <c r="M43" i="11"/>
  <c r="AM42" i="11"/>
  <c r="U42" i="11"/>
  <c r="P42" i="11"/>
  <c r="O42" i="11"/>
  <c r="Q42" i="11" s="1"/>
  <c r="M42" i="11"/>
  <c r="N42" i="11" s="1"/>
  <c r="P41" i="11"/>
  <c r="O41" i="11"/>
  <c r="Q41" i="11" s="1"/>
  <c r="M41" i="11"/>
  <c r="P40" i="11"/>
  <c r="O40" i="11"/>
  <c r="Q40" i="11" s="1"/>
  <c r="M40" i="11"/>
  <c r="P39" i="11"/>
  <c r="O39" i="11"/>
  <c r="Q39" i="11" s="1"/>
  <c r="M39" i="11"/>
  <c r="AM38" i="11"/>
  <c r="U38" i="11"/>
  <c r="P38" i="11"/>
  <c r="O38" i="11"/>
  <c r="Q38" i="11" s="1"/>
  <c r="M38" i="11"/>
  <c r="N38" i="11" s="1"/>
  <c r="P37" i="11"/>
  <c r="O37" i="11"/>
  <c r="Q37" i="11" s="1"/>
  <c r="M37" i="11"/>
  <c r="P36" i="11"/>
  <c r="O36" i="11"/>
  <c r="Q36" i="11" s="1"/>
  <c r="M36" i="11"/>
  <c r="AM35" i="11"/>
  <c r="U35" i="11"/>
  <c r="P35" i="11"/>
  <c r="O35" i="11"/>
  <c r="Q35" i="11" s="1"/>
  <c r="R35" i="11" s="1"/>
  <c r="M35" i="11"/>
  <c r="N35" i="11" s="1"/>
  <c r="P34" i="11"/>
  <c r="O34" i="11"/>
  <c r="Q34" i="11" s="1"/>
  <c r="R34" i="11" s="1"/>
  <c r="S34" i="11" s="1"/>
  <c r="AJ34" i="11" s="1"/>
  <c r="M34" i="11"/>
  <c r="AM33" i="11"/>
  <c r="U33" i="11"/>
  <c r="P33" i="11"/>
  <c r="O33" i="11"/>
  <c r="Q33" i="11" s="1"/>
  <c r="M33" i="11"/>
  <c r="N33" i="11" s="1"/>
  <c r="P32" i="11"/>
  <c r="O32" i="11"/>
  <c r="Q32" i="11" s="1"/>
  <c r="M32" i="11"/>
  <c r="AM31" i="11"/>
  <c r="U31" i="11"/>
  <c r="P31" i="11"/>
  <c r="O31" i="11"/>
  <c r="Q31" i="11" s="1"/>
  <c r="M31" i="11"/>
  <c r="N31" i="11" s="1"/>
  <c r="P30" i="11"/>
  <c r="O30" i="11"/>
  <c r="Q30" i="11" s="1"/>
  <c r="M30" i="11"/>
  <c r="P29" i="11"/>
  <c r="O29" i="11"/>
  <c r="Q29" i="11" s="1"/>
  <c r="M29" i="11"/>
  <c r="P28" i="11"/>
  <c r="O28" i="11"/>
  <c r="Q28" i="11" s="1"/>
  <c r="M28" i="11"/>
  <c r="AM27" i="11"/>
  <c r="U27" i="11"/>
  <c r="P27" i="11"/>
  <c r="O27" i="11"/>
  <c r="Q27" i="11" s="1"/>
  <c r="M27" i="11"/>
  <c r="N27" i="11" s="1"/>
  <c r="P26" i="11"/>
  <c r="O26" i="11"/>
  <c r="Q26" i="11" s="1"/>
  <c r="M26" i="11"/>
  <c r="P25" i="11"/>
  <c r="O25" i="11"/>
  <c r="Q25" i="11" s="1"/>
  <c r="M25" i="11"/>
  <c r="P24" i="11"/>
  <c r="O24" i="11"/>
  <c r="Q24" i="11" s="1"/>
  <c r="R24" i="11" s="1"/>
  <c r="S24" i="11" s="1"/>
  <c r="AJ24" i="11" s="1"/>
  <c r="M24" i="11"/>
  <c r="P23" i="11"/>
  <c r="O23" i="11"/>
  <c r="Q23" i="11" s="1"/>
  <c r="M23" i="11"/>
  <c r="AM22" i="11"/>
  <c r="U22" i="11"/>
  <c r="P22" i="11"/>
  <c r="O22" i="11"/>
  <c r="Q22" i="11" s="1"/>
  <c r="M22" i="11"/>
  <c r="N22" i="11" s="1"/>
  <c r="P21" i="11"/>
  <c r="O21" i="11"/>
  <c r="Q21" i="11" s="1"/>
  <c r="M21" i="11"/>
  <c r="AM20" i="11"/>
  <c r="U20" i="11"/>
  <c r="P20" i="11"/>
  <c r="O20" i="11"/>
  <c r="Q20" i="11" s="1"/>
  <c r="M20" i="11"/>
  <c r="N20" i="11" s="1"/>
  <c r="P19" i="11"/>
  <c r="O19" i="11"/>
  <c r="Q19" i="11" s="1"/>
  <c r="M19" i="11"/>
  <c r="AM18" i="11"/>
  <c r="U18" i="11"/>
  <c r="P18" i="11"/>
  <c r="O18" i="11"/>
  <c r="Q18" i="11" s="1"/>
  <c r="M18" i="11"/>
  <c r="N18" i="11" s="1"/>
  <c r="P17" i="11"/>
  <c r="O17" i="11"/>
  <c r="Q17" i="11" s="1"/>
  <c r="M17" i="11"/>
  <c r="P16" i="11"/>
  <c r="O16" i="11"/>
  <c r="Q16" i="11" s="1"/>
  <c r="M16" i="11"/>
  <c r="AM15" i="11"/>
  <c r="U15" i="11"/>
  <c r="P15" i="11"/>
  <c r="O15" i="11"/>
  <c r="Q15" i="11" s="1"/>
  <c r="M15" i="11"/>
  <c r="N15" i="11" s="1"/>
  <c r="P14" i="11"/>
  <c r="O14" i="11"/>
  <c r="Q14" i="11" s="1"/>
  <c r="M14" i="11"/>
  <c r="AM13" i="11"/>
  <c r="U13" i="11"/>
  <c r="P13" i="11"/>
  <c r="O13" i="11"/>
  <c r="Q13" i="11" s="1"/>
  <c r="M13" i="11"/>
  <c r="N13" i="11" s="1"/>
  <c r="AM12" i="11"/>
  <c r="U12" i="11"/>
  <c r="P12" i="11"/>
  <c r="O12" i="11"/>
  <c r="Q12" i="11" s="1"/>
  <c r="R12" i="11" s="1"/>
  <c r="M12" i="11"/>
  <c r="N12" i="11" s="1"/>
  <c r="P11" i="11"/>
  <c r="O11" i="11"/>
  <c r="Q11" i="11" s="1"/>
  <c r="M11" i="11"/>
  <c r="AM10" i="11"/>
  <c r="U10" i="11"/>
  <c r="P10" i="11"/>
  <c r="O10" i="11"/>
  <c r="Q10" i="11" s="1"/>
  <c r="R10" i="11" s="1"/>
  <c r="M10" i="11"/>
  <c r="N10" i="11" s="1"/>
  <c r="P9" i="11"/>
  <c r="O9" i="11"/>
  <c r="Q9" i="11" s="1"/>
  <c r="M9" i="11"/>
  <c r="P8" i="11"/>
  <c r="O8" i="11"/>
  <c r="Q8" i="11" s="1"/>
  <c r="M8" i="11"/>
  <c r="P7" i="11"/>
  <c r="O7" i="11"/>
  <c r="Q7" i="11" s="1"/>
  <c r="M7" i="11"/>
  <c r="P6" i="11"/>
  <c r="O6" i="11"/>
  <c r="Q6" i="11" s="1"/>
  <c r="R6" i="11" s="1"/>
  <c r="S6" i="11" s="1"/>
  <c r="AJ6" i="11" s="1"/>
  <c r="M6" i="11"/>
  <c r="P5" i="11"/>
  <c r="O5" i="11"/>
  <c r="Q5" i="11" s="1"/>
  <c r="M5" i="11"/>
  <c r="P4" i="11"/>
  <c r="O4" i="11"/>
  <c r="Q4" i="11" s="1"/>
  <c r="M4" i="11"/>
  <c r="AM2" i="11"/>
  <c r="AQ65" i="8"/>
  <c r="AR65" i="8" s="1"/>
  <c r="AS65" i="8" s="1"/>
  <c r="AT65" i="8" s="1"/>
  <c r="AU65" i="8" s="1"/>
  <c r="AQ64" i="8"/>
  <c r="AR64" i="8" s="1"/>
  <c r="AS64" i="8" s="1"/>
  <c r="AT64" i="8" s="1"/>
  <c r="AU64" i="8" s="1"/>
  <c r="AQ63" i="8"/>
  <c r="AR63" i="8" s="1"/>
  <c r="AS63" i="8" s="1"/>
  <c r="AT63" i="8" s="1"/>
  <c r="AU63" i="8" s="1"/>
  <c r="AV63" i="8" s="1"/>
  <c r="AQ62" i="8"/>
  <c r="AR62" i="8" s="1"/>
  <c r="AS62" i="8" s="1"/>
  <c r="AT62" i="8" s="1"/>
  <c r="AU62" i="8" s="1"/>
  <c r="AV62" i="8" s="1"/>
  <c r="AQ61" i="8"/>
  <c r="AR61" i="8" s="1"/>
  <c r="AS61" i="8" s="1"/>
  <c r="AT61" i="8" s="1"/>
  <c r="AU61" i="8" s="1"/>
  <c r="AV61" i="8" s="1"/>
  <c r="AQ60" i="8"/>
  <c r="AR60" i="8" s="1"/>
  <c r="AS60" i="8" s="1"/>
  <c r="AT60" i="8" s="1"/>
  <c r="AU60" i="8" s="1"/>
  <c r="AQ59" i="8"/>
  <c r="AR59" i="8" s="1"/>
  <c r="AS59" i="8" s="1"/>
  <c r="AT59" i="8" s="1"/>
  <c r="AU59" i="8" s="1"/>
  <c r="AV59" i="8" s="1"/>
  <c r="AQ58" i="8"/>
  <c r="AR58" i="8" s="1"/>
  <c r="AS58" i="8" s="1"/>
  <c r="AT58" i="8" s="1"/>
  <c r="AU58" i="8" s="1"/>
  <c r="AV58" i="8" s="1"/>
  <c r="AQ57" i="8"/>
  <c r="AR57" i="8" s="1"/>
  <c r="AS57" i="8" s="1"/>
  <c r="AT57" i="8" s="1"/>
  <c r="AU57" i="8" s="1"/>
  <c r="AV57" i="8" s="1"/>
  <c r="AQ56" i="8"/>
  <c r="AR56" i="8" s="1"/>
  <c r="AS56" i="8" s="1"/>
  <c r="AT56" i="8" s="1"/>
  <c r="AU56" i="8" s="1"/>
  <c r="AQ54" i="8"/>
  <c r="AR54" i="8" s="1"/>
  <c r="AS54" i="8" s="1"/>
  <c r="AT54" i="8" s="1"/>
  <c r="AU54" i="8" s="1"/>
  <c r="AQ53" i="8"/>
  <c r="AR53" i="8" s="1"/>
  <c r="AS53" i="8" s="1"/>
  <c r="AT53" i="8" s="1"/>
  <c r="AU53" i="8" s="1"/>
  <c r="AQ52" i="8"/>
  <c r="AR52" i="8" s="1"/>
  <c r="AS52" i="8" s="1"/>
  <c r="AT52" i="8" s="1"/>
  <c r="AU52" i="8" s="1"/>
  <c r="AQ51" i="8"/>
  <c r="AR51" i="8" s="1"/>
  <c r="AS51" i="8" s="1"/>
  <c r="AT51" i="8" s="1"/>
  <c r="AU51" i="8" s="1"/>
  <c r="AQ47" i="8"/>
  <c r="AR47" i="8" s="1"/>
  <c r="AS47" i="8" s="1"/>
  <c r="AT47" i="8" s="1"/>
  <c r="AU47" i="8" s="1"/>
  <c r="AV47" i="8" s="1"/>
  <c r="AQ45" i="8"/>
  <c r="AR45" i="8" s="1"/>
  <c r="AS45" i="8" s="1"/>
  <c r="AT45" i="8" s="1"/>
  <c r="AU45" i="8" s="1"/>
  <c r="AV45" i="8" s="1"/>
  <c r="AQ42" i="8"/>
  <c r="AR42" i="8" s="1"/>
  <c r="AS42" i="8" s="1"/>
  <c r="AT42" i="8" s="1"/>
  <c r="AU42" i="8" s="1"/>
  <c r="AV42" i="8" s="1"/>
  <c r="AQ38" i="8"/>
  <c r="AR38" i="8" s="1"/>
  <c r="AS38" i="8" s="1"/>
  <c r="AT38" i="8" s="1"/>
  <c r="AU38" i="8" s="1"/>
  <c r="AQ35" i="8"/>
  <c r="AR35" i="8" s="1"/>
  <c r="AS35" i="8" s="1"/>
  <c r="AT35" i="8" s="1"/>
  <c r="AU35" i="8" s="1"/>
  <c r="AV35" i="8" s="1"/>
  <c r="AQ33" i="8"/>
  <c r="AR33" i="8" s="1"/>
  <c r="AS33" i="8" s="1"/>
  <c r="AT33" i="8" s="1"/>
  <c r="AU33" i="8" s="1"/>
  <c r="AV33" i="8" s="1"/>
  <c r="AQ31" i="8"/>
  <c r="AR31" i="8" s="1"/>
  <c r="AS31" i="8" s="1"/>
  <c r="AT31" i="8" s="1"/>
  <c r="AU31" i="8" s="1"/>
  <c r="AV31" i="8" s="1"/>
  <c r="AQ27" i="8"/>
  <c r="AR27" i="8" s="1"/>
  <c r="AS27" i="8" s="1"/>
  <c r="AT27" i="8" s="1"/>
  <c r="AU27" i="8" s="1"/>
  <c r="AQ22" i="8"/>
  <c r="AR22" i="8" s="1"/>
  <c r="AS22" i="8" s="1"/>
  <c r="AT22" i="8" s="1"/>
  <c r="AU22" i="8" s="1"/>
  <c r="AQ20" i="8"/>
  <c r="AR20" i="8" s="1"/>
  <c r="AS20" i="8" s="1"/>
  <c r="AT20" i="8" s="1"/>
  <c r="AU20" i="8" s="1"/>
  <c r="AQ18" i="8"/>
  <c r="AR18" i="8" s="1"/>
  <c r="AS18" i="8" s="1"/>
  <c r="AT18" i="8" s="1"/>
  <c r="AU18" i="8" s="1"/>
  <c r="AQ15" i="8"/>
  <c r="AR15" i="8" s="1"/>
  <c r="AS15" i="8" s="1"/>
  <c r="AT15" i="8" s="1"/>
  <c r="AU15" i="8" s="1"/>
  <c r="AQ13" i="8"/>
  <c r="AR13" i="8" s="1"/>
  <c r="AS13" i="8" s="1"/>
  <c r="AT13" i="8" s="1"/>
  <c r="AU13" i="8" s="1"/>
  <c r="AV13" i="8" s="1"/>
  <c r="AQ12" i="8"/>
  <c r="AR12" i="8" s="1"/>
  <c r="AS12" i="8" s="1"/>
  <c r="AT12" i="8" s="1"/>
  <c r="AU12" i="8" s="1"/>
  <c r="AV12" i="8" s="1"/>
  <c r="AV10" i="8"/>
  <c r="AU10" i="8"/>
  <c r="AT10" i="8"/>
  <c r="AS10" i="8"/>
  <c r="AR10" i="8"/>
  <c r="AQ10" i="8"/>
  <c r="AG92" i="8"/>
  <c r="AG91" i="8"/>
  <c r="AG90" i="8"/>
  <c r="AG89" i="8"/>
  <c r="AG88" i="8"/>
  <c r="AG87" i="8"/>
  <c r="AG86" i="8"/>
  <c r="AG85" i="8"/>
  <c r="AG84" i="8"/>
  <c r="AG83" i="8"/>
  <c r="AG82" i="8"/>
  <c r="AG80" i="8"/>
  <c r="AG78" i="8"/>
  <c r="AG77" i="8"/>
  <c r="AG76" i="8"/>
  <c r="AG75" i="8"/>
  <c r="AG74" i="8"/>
  <c r="AG73" i="8"/>
  <c r="AG72" i="8"/>
  <c r="AG71" i="8"/>
  <c r="AG70" i="8"/>
  <c r="AG69" i="8"/>
  <c r="AG68" i="8"/>
  <c r="AG66" i="8"/>
  <c r="AG65" i="8"/>
  <c r="AG64" i="8"/>
  <c r="AG63" i="8"/>
  <c r="AG62" i="8"/>
  <c r="AG61" i="8"/>
  <c r="AG60" i="8"/>
  <c r="AG59" i="8"/>
  <c r="AG58" i="8"/>
  <c r="AG57" i="8"/>
  <c r="AG56" i="8"/>
  <c r="AG54" i="8"/>
  <c r="AG53" i="8"/>
  <c r="AG52" i="8"/>
  <c r="AG51" i="8"/>
  <c r="AG47" i="8"/>
  <c r="AG45" i="8"/>
  <c r="AG42" i="8"/>
  <c r="AG38" i="8"/>
  <c r="AG35" i="8"/>
  <c r="AG33" i="8"/>
  <c r="AG31" i="8"/>
  <c r="AG27" i="8"/>
  <c r="AG22" i="8"/>
  <c r="AG20" i="8"/>
  <c r="AG18" i="8"/>
  <c r="AG15" i="8"/>
  <c r="AG13" i="8"/>
  <c r="AG12" i="8"/>
  <c r="AG10" i="8"/>
  <c r="AG2" i="8"/>
  <c r="Z59" i="8"/>
  <c r="Y59" i="8"/>
  <c r="Z58" i="8"/>
  <c r="Y58" i="8"/>
  <c r="Z57" i="8"/>
  <c r="Y57" i="8"/>
  <c r="Z56" i="8"/>
  <c r="Y56" i="8"/>
  <c r="Z54" i="8"/>
  <c r="Y54" i="8"/>
  <c r="Z53" i="8"/>
  <c r="Y53" i="8"/>
  <c r="Z52" i="8"/>
  <c r="Y52" i="8"/>
  <c r="Z51" i="8"/>
  <c r="Y51" i="8"/>
  <c r="Z47" i="8"/>
  <c r="Y47" i="8"/>
  <c r="Z45" i="8"/>
  <c r="Y45" i="8"/>
  <c r="Z42" i="8"/>
  <c r="Y42" i="8"/>
  <c r="Z38" i="8"/>
  <c r="Y38" i="8"/>
  <c r="Z35" i="8"/>
  <c r="Y35" i="8"/>
  <c r="Z33" i="8"/>
  <c r="Y33" i="8"/>
  <c r="Z31" i="8"/>
  <c r="Y31" i="8"/>
  <c r="Z27" i="8"/>
  <c r="Y27" i="8"/>
  <c r="Z22" i="8"/>
  <c r="Y22" i="8"/>
  <c r="Z15" i="8"/>
  <c r="Y15" i="8"/>
  <c r="Z13" i="8"/>
  <c r="Y13" i="8"/>
  <c r="Z12" i="8"/>
  <c r="Y12" i="8"/>
  <c r="Z20" i="8"/>
  <c r="Y20" i="8"/>
  <c r="Z18" i="8"/>
  <c r="Y18" i="8"/>
  <c r="T92" i="8"/>
  <c r="T91" i="8"/>
  <c r="T90" i="8"/>
  <c r="T89" i="8"/>
  <c r="T88" i="8"/>
  <c r="T87" i="8"/>
  <c r="T86" i="8"/>
  <c r="T85" i="8"/>
  <c r="T84" i="8"/>
  <c r="T83" i="8"/>
  <c r="T82" i="8"/>
  <c r="T80" i="8"/>
  <c r="T78" i="8"/>
  <c r="T77" i="8"/>
  <c r="T76" i="8"/>
  <c r="T75" i="8"/>
  <c r="T74" i="8"/>
  <c r="T73" i="8"/>
  <c r="T72" i="8"/>
  <c r="T71" i="8"/>
  <c r="T70" i="8"/>
  <c r="T69" i="8"/>
  <c r="T68" i="8"/>
  <c r="T66" i="8"/>
  <c r="T65" i="8"/>
  <c r="T64" i="8"/>
  <c r="T63" i="8"/>
  <c r="T62" i="8"/>
  <c r="T61" i="8"/>
  <c r="T60" i="8"/>
  <c r="T59" i="8"/>
  <c r="T58" i="8"/>
  <c r="T57" i="8"/>
  <c r="T56" i="8"/>
  <c r="T54" i="8"/>
  <c r="T53" i="8"/>
  <c r="T52" i="8"/>
  <c r="T51" i="8"/>
  <c r="T47" i="8"/>
  <c r="T45" i="8"/>
  <c r="T42" i="8"/>
  <c r="T38" i="8"/>
  <c r="T35" i="8"/>
  <c r="T33" i="8"/>
  <c r="T31" i="8"/>
  <c r="T27" i="8"/>
  <c r="T22" i="8"/>
  <c r="T20" i="8"/>
  <c r="T18" i="8"/>
  <c r="T15" i="8"/>
  <c r="T13" i="8"/>
  <c r="T12" i="8"/>
  <c r="T10" i="8"/>
  <c r="M27" i="8"/>
  <c r="N27" i="8" s="1"/>
  <c r="M5" i="8"/>
  <c r="M6" i="8"/>
  <c r="M7" i="8"/>
  <c r="M8" i="8"/>
  <c r="M9" i="8"/>
  <c r="M12" i="8"/>
  <c r="N12" i="8" s="1"/>
  <c r="M11" i="8"/>
  <c r="M60" i="8"/>
  <c r="N60" i="8" s="1"/>
  <c r="M61" i="8"/>
  <c r="N61" i="8" s="1"/>
  <c r="M14" i="8"/>
  <c r="M66" i="8"/>
  <c r="N66" i="8" s="1"/>
  <c r="M16" i="8"/>
  <c r="M17" i="8"/>
  <c r="M68" i="8"/>
  <c r="N68" i="8" s="1"/>
  <c r="M19" i="8"/>
  <c r="M69" i="8"/>
  <c r="N69" i="8" s="1"/>
  <c r="M21" i="8"/>
  <c r="M70" i="8"/>
  <c r="N70" i="8" s="1"/>
  <c r="M23" i="8"/>
  <c r="M24" i="8"/>
  <c r="M25" i="8"/>
  <c r="M26" i="8"/>
  <c r="M28" i="8"/>
  <c r="M29" i="8"/>
  <c r="M30" i="8"/>
  <c r="M31" i="8"/>
  <c r="N31" i="8" s="1"/>
  <c r="M32" i="8"/>
  <c r="M33" i="8"/>
  <c r="N33" i="8" s="1"/>
  <c r="M34" i="8"/>
  <c r="M35" i="8"/>
  <c r="N35" i="8" s="1"/>
  <c r="M36" i="8"/>
  <c r="M37" i="8"/>
  <c r="M10" i="8"/>
  <c r="N10" i="8" s="1"/>
  <c r="M39" i="8"/>
  <c r="M40" i="8"/>
  <c r="M41" i="8"/>
  <c r="M22" i="8"/>
  <c r="N22" i="8" s="1"/>
  <c r="M43" i="8"/>
  <c r="M44" i="8"/>
  <c r="M18" i="8"/>
  <c r="N18" i="8" s="1"/>
  <c r="M46" i="8"/>
  <c r="M20" i="8"/>
  <c r="N20" i="8" s="1"/>
  <c r="M48" i="8"/>
  <c r="M49" i="8"/>
  <c r="M50" i="8"/>
  <c r="M13" i="8"/>
  <c r="N13" i="8" s="1"/>
  <c r="M15" i="8"/>
  <c r="N15" i="8" s="1"/>
  <c r="M63" i="8"/>
  <c r="N63" i="8" s="1"/>
  <c r="M55" i="8"/>
  <c r="M71" i="8"/>
  <c r="N71" i="8" s="1"/>
  <c r="M72" i="8"/>
  <c r="N72" i="8" s="1"/>
  <c r="M73" i="8"/>
  <c r="N73" i="8" s="1"/>
  <c r="M74" i="8"/>
  <c r="N74" i="8" s="1"/>
  <c r="M75" i="8"/>
  <c r="N75" i="8" s="1"/>
  <c r="M76" i="8"/>
  <c r="N76" i="8" s="1"/>
  <c r="M77" i="8"/>
  <c r="N77" i="8" s="1"/>
  <c r="M78" i="8"/>
  <c r="N78" i="8" s="1"/>
  <c r="M80" i="8"/>
  <c r="N80" i="8" s="1"/>
  <c r="M82" i="8"/>
  <c r="N82" i="8" s="1"/>
  <c r="M83" i="8"/>
  <c r="N83" i="8" s="1"/>
  <c r="M67" i="8"/>
  <c r="M84" i="8"/>
  <c r="N84" i="8" s="1"/>
  <c r="M64" i="8"/>
  <c r="N64" i="8" s="1"/>
  <c r="M65" i="8"/>
  <c r="N65" i="8" s="1"/>
  <c r="M85" i="8"/>
  <c r="N85" i="8" s="1"/>
  <c r="M86" i="8"/>
  <c r="N86" i="8" s="1"/>
  <c r="M87" i="8"/>
  <c r="N87" i="8" s="1"/>
  <c r="M88" i="8"/>
  <c r="N88" i="8" s="1"/>
  <c r="M89" i="8"/>
  <c r="N89" i="8" s="1"/>
  <c r="M90" i="8"/>
  <c r="N90" i="8" s="1"/>
  <c r="M91" i="8"/>
  <c r="N91" i="8" s="1"/>
  <c r="M92" i="8"/>
  <c r="N92" i="8" s="1"/>
  <c r="M79" i="8"/>
  <c r="M38" i="8"/>
  <c r="N38" i="8" s="1"/>
  <c r="M81" i="8"/>
  <c r="M42" i="8"/>
  <c r="N42" i="8" s="1"/>
  <c r="M45" i="8"/>
  <c r="N45" i="8" s="1"/>
  <c r="M47" i="8"/>
  <c r="N47" i="8" s="1"/>
  <c r="M51" i="8"/>
  <c r="N51" i="8" s="1"/>
  <c r="M52" i="8"/>
  <c r="N52" i="8" s="1"/>
  <c r="M53" i="8"/>
  <c r="N53" i="8" s="1"/>
  <c r="M54" i="8"/>
  <c r="N54" i="8" s="1"/>
  <c r="M56" i="8"/>
  <c r="N56" i="8" s="1"/>
  <c r="M57" i="8"/>
  <c r="N57" i="8" s="1"/>
  <c r="M58" i="8"/>
  <c r="N58" i="8" s="1"/>
  <c r="M59" i="8"/>
  <c r="N59" i="8" s="1"/>
  <c r="M4" i="8"/>
  <c r="I62" i="8"/>
  <c r="M62" i="8" s="1"/>
  <c r="N62" i="8" s="1"/>
  <c r="P15" i="8"/>
  <c r="O61" i="8"/>
  <c r="Q61" i="8" s="1"/>
  <c r="O14" i="8"/>
  <c r="Q14" i="8" s="1"/>
  <c r="O66" i="8"/>
  <c r="Q66" i="8" s="1"/>
  <c r="O16" i="8"/>
  <c r="Q16" i="8" s="1"/>
  <c r="O17" i="8"/>
  <c r="Q17" i="8" s="1"/>
  <c r="O68" i="8"/>
  <c r="Q68" i="8" s="1"/>
  <c r="O19" i="8"/>
  <c r="Q19" i="8" s="1"/>
  <c r="O69" i="8"/>
  <c r="Q69" i="8" s="1"/>
  <c r="O21" i="8"/>
  <c r="Q21" i="8" s="1"/>
  <c r="O70" i="8"/>
  <c r="Q70" i="8" s="1"/>
  <c r="O23" i="8"/>
  <c r="Q23" i="8" s="1"/>
  <c r="O24" i="8"/>
  <c r="Q24" i="8" s="1"/>
  <c r="O25" i="8"/>
  <c r="Q25" i="8" s="1"/>
  <c r="O26" i="8"/>
  <c r="Q26" i="8" s="1"/>
  <c r="O27" i="8"/>
  <c r="Q27" i="8" s="1"/>
  <c r="O28" i="8"/>
  <c r="Q28" i="8" s="1"/>
  <c r="O29" i="8"/>
  <c r="Q29" i="8" s="1"/>
  <c r="O30" i="8"/>
  <c r="Q30" i="8" s="1"/>
  <c r="O31" i="8"/>
  <c r="Q31" i="8" s="1"/>
  <c r="O32" i="8"/>
  <c r="Q32" i="8" s="1"/>
  <c r="O33" i="8"/>
  <c r="Q33" i="8" s="1"/>
  <c r="O34" i="8"/>
  <c r="Q34" i="8" s="1"/>
  <c r="O35" i="8"/>
  <c r="Q35" i="8" s="1"/>
  <c r="O36" i="8"/>
  <c r="Q36" i="8" s="1"/>
  <c r="O37" i="8"/>
  <c r="Q37" i="8" s="1"/>
  <c r="O10" i="8"/>
  <c r="Q10" i="8" s="1"/>
  <c r="O39" i="8"/>
  <c r="Q39" i="8" s="1"/>
  <c r="O40" i="8"/>
  <c r="Q40" i="8" s="1"/>
  <c r="O41" i="8"/>
  <c r="Q41" i="8" s="1"/>
  <c r="O22" i="8"/>
  <c r="Q22" i="8" s="1"/>
  <c r="O43" i="8"/>
  <c r="Q43" i="8" s="1"/>
  <c r="O44" i="8"/>
  <c r="Q44" i="8" s="1"/>
  <c r="O18" i="8"/>
  <c r="Q18" i="8" s="1"/>
  <c r="O46" i="8"/>
  <c r="Q46" i="8" s="1"/>
  <c r="O20" i="8"/>
  <c r="Q20" i="8" s="1"/>
  <c r="O48" i="8"/>
  <c r="Q48" i="8" s="1"/>
  <c r="O49" i="8"/>
  <c r="Q49" i="8" s="1"/>
  <c r="O50" i="8"/>
  <c r="Q50" i="8" s="1"/>
  <c r="O13" i="8"/>
  <c r="Q13" i="8" s="1"/>
  <c r="O15" i="8"/>
  <c r="Q15" i="8" s="1"/>
  <c r="O62" i="8"/>
  <c r="Q62" i="8" s="1"/>
  <c r="O63" i="8"/>
  <c r="Q63" i="8" s="1"/>
  <c r="O55" i="8"/>
  <c r="Q55" i="8" s="1"/>
  <c r="O71" i="8"/>
  <c r="Q71" i="8" s="1"/>
  <c r="O72" i="8"/>
  <c r="Q72" i="8" s="1"/>
  <c r="O73" i="8"/>
  <c r="Q73" i="8" s="1"/>
  <c r="O74" i="8"/>
  <c r="Q74" i="8" s="1"/>
  <c r="O75" i="8"/>
  <c r="Q75" i="8" s="1"/>
  <c r="O76" i="8"/>
  <c r="Q76" i="8" s="1"/>
  <c r="O77" i="8"/>
  <c r="Q77" i="8" s="1"/>
  <c r="O78" i="8"/>
  <c r="Q78" i="8" s="1"/>
  <c r="O80" i="8"/>
  <c r="Q80" i="8" s="1"/>
  <c r="O82" i="8"/>
  <c r="Q82" i="8" s="1"/>
  <c r="O83" i="8"/>
  <c r="Q83" i="8" s="1"/>
  <c r="O67" i="8"/>
  <c r="Q67" i="8" s="1"/>
  <c r="O84" i="8"/>
  <c r="Q84" i="8" s="1"/>
  <c r="O64" i="8"/>
  <c r="Q64" i="8" s="1"/>
  <c r="O65" i="8"/>
  <c r="Q65" i="8" s="1"/>
  <c r="O85" i="8"/>
  <c r="Q85" i="8" s="1"/>
  <c r="O86" i="8"/>
  <c r="Q86" i="8" s="1"/>
  <c r="O87" i="8"/>
  <c r="Q87" i="8" s="1"/>
  <c r="O88" i="8"/>
  <c r="Q88" i="8" s="1"/>
  <c r="O89" i="8"/>
  <c r="Q89" i="8" s="1"/>
  <c r="O90" i="8"/>
  <c r="Q90" i="8" s="1"/>
  <c r="O91" i="8"/>
  <c r="Q91" i="8" s="1"/>
  <c r="O92" i="8"/>
  <c r="Q92" i="8" s="1"/>
  <c r="O79" i="8"/>
  <c r="Q79" i="8" s="1"/>
  <c r="O38" i="8"/>
  <c r="Q38" i="8" s="1"/>
  <c r="O81" i="8"/>
  <c r="Q81" i="8" s="1"/>
  <c r="O42" i="8"/>
  <c r="Q42" i="8" s="1"/>
  <c r="O45" i="8"/>
  <c r="Q45" i="8" s="1"/>
  <c r="O47" i="8"/>
  <c r="Q47" i="8" s="1"/>
  <c r="O51" i="8"/>
  <c r="Q51" i="8" s="1"/>
  <c r="O52" i="8"/>
  <c r="Q52" i="8" s="1"/>
  <c r="O53" i="8"/>
  <c r="Q53" i="8" s="1"/>
  <c r="O54" i="8"/>
  <c r="Q54" i="8" s="1"/>
  <c r="O56" i="8"/>
  <c r="Q56" i="8" s="1"/>
  <c r="O57" i="8"/>
  <c r="Q57" i="8" s="1"/>
  <c r="O58" i="8"/>
  <c r="Q58" i="8" s="1"/>
  <c r="O59" i="8"/>
  <c r="Q59" i="8" s="1"/>
  <c r="O4" i="8"/>
  <c r="Q4" i="8" s="1"/>
  <c r="O5" i="8"/>
  <c r="Q5" i="8" s="1"/>
  <c r="O6" i="8"/>
  <c r="Q6" i="8" s="1"/>
  <c r="O7" i="8"/>
  <c r="Q7" i="8" s="1"/>
  <c r="O8" i="8"/>
  <c r="Q8" i="8" s="1"/>
  <c r="O9" i="8"/>
  <c r="Q9" i="8" s="1"/>
  <c r="O12" i="8"/>
  <c r="Q12" i="8" s="1"/>
  <c r="O11" i="8"/>
  <c r="Q11" i="8" s="1"/>
  <c r="P59" i="8"/>
  <c r="P58" i="8"/>
  <c r="P57" i="8"/>
  <c r="P56" i="8"/>
  <c r="P54" i="8"/>
  <c r="P53" i="8"/>
  <c r="P52" i="8"/>
  <c r="P51" i="8"/>
  <c r="P47" i="8"/>
  <c r="P45" i="8"/>
  <c r="P42" i="8"/>
  <c r="P81" i="8"/>
  <c r="P38" i="8"/>
  <c r="P79" i="8"/>
  <c r="P92" i="8"/>
  <c r="P91" i="8"/>
  <c r="P90" i="8"/>
  <c r="P89" i="8"/>
  <c r="P88" i="8"/>
  <c r="P87" i="8"/>
  <c r="P86" i="8"/>
  <c r="P85" i="8"/>
  <c r="P65" i="8"/>
  <c r="P64" i="8"/>
  <c r="P84" i="8"/>
  <c r="P67" i="8"/>
  <c r="P83" i="8"/>
  <c r="P82" i="8"/>
  <c r="P80" i="8"/>
  <c r="P78" i="8"/>
  <c r="P77" i="8"/>
  <c r="P76" i="8"/>
  <c r="P75" i="8"/>
  <c r="P74" i="8"/>
  <c r="P73" i="8"/>
  <c r="P72" i="8"/>
  <c r="P71" i="8"/>
  <c r="P55" i="8"/>
  <c r="P63" i="8"/>
  <c r="P62" i="8"/>
  <c r="P13" i="8"/>
  <c r="P50" i="8"/>
  <c r="P49" i="8"/>
  <c r="P48" i="8"/>
  <c r="P20" i="8"/>
  <c r="P46" i="8"/>
  <c r="P18" i="8"/>
  <c r="P44" i="8"/>
  <c r="P43" i="8"/>
  <c r="P22" i="8"/>
  <c r="P41" i="8"/>
  <c r="P40" i="8"/>
  <c r="P39" i="8"/>
  <c r="P10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70" i="8"/>
  <c r="P21" i="8"/>
  <c r="P69" i="8"/>
  <c r="P19" i="8"/>
  <c r="P68" i="8"/>
  <c r="P17" i="8"/>
  <c r="P16" i="8"/>
  <c r="P66" i="8"/>
  <c r="P14" i="8"/>
  <c r="P61" i="8"/>
  <c r="P60" i="8"/>
  <c r="O60" i="8"/>
  <c r="P11" i="8"/>
  <c r="P12" i="8"/>
  <c r="P9" i="8"/>
  <c r="P8" i="8"/>
  <c r="P7" i="8"/>
  <c r="P6" i="8"/>
  <c r="P5" i="8"/>
  <c r="P4" i="8"/>
  <c r="AV38" i="8" l="1"/>
  <c r="AV60" i="8"/>
  <c r="AV15" i="8"/>
  <c r="AV51" i="8"/>
  <c r="AV64" i="8"/>
  <c r="AV18" i="8"/>
  <c r="AV52" i="8"/>
  <c r="AV65" i="8"/>
  <c r="AV53" i="8"/>
  <c r="AV22" i="8"/>
  <c r="AV27" i="8"/>
  <c r="AV56" i="8"/>
  <c r="AV20" i="8"/>
  <c r="AV54" i="8"/>
  <c r="R52" i="11"/>
  <c r="S52" i="11" s="1"/>
  <c r="R19" i="11"/>
  <c r="S19" i="11" s="1"/>
  <c r="AJ19" i="11" s="1"/>
  <c r="R80" i="11"/>
  <c r="S80" i="11" s="1"/>
  <c r="AJ80" i="11" s="1"/>
  <c r="R88" i="11"/>
  <c r="S88" i="11" s="1"/>
  <c r="R14" i="11"/>
  <c r="S14" i="11" s="1"/>
  <c r="AJ14" i="11" s="1"/>
  <c r="R33" i="11"/>
  <c r="S33" i="11" s="1"/>
  <c r="R49" i="11"/>
  <c r="S49" i="11" s="1"/>
  <c r="AJ49" i="11" s="1"/>
  <c r="R5" i="11"/>
  <c r="S5" i="11" s="1"/>
  <c r="AJ5" i="11" s="1"/>
  <c r="R9" i="11"/>
  <c r="S9" i="11" s="1"/>
  <c r="AJ9" i="11" s="1"/>
  <c r="R41" i="11"/>
  <c r="S41" i="11" s="1"/>
  <c r="AJ41" i="11" s="1"/>
  <c r="R92" i="11"/>
  <c r="R30" i="11"/>
  <c r="S30" i="11" s="1"/>
  <c r="AJ30" i="11" s="1"/>
  <c r="R46" i="11"/>
  <c r="S46" i="11" s="1"/>
  <c r="AJ46" i="11" s="1"/>
  <c r="R23" i="11"/>
  <c r="S23" i="11" s="1"/>
  <c r="AJ23" i="11" s="1"/>
  <c r="R27" i="11"/>
  <c r="S27" i="11" s="1"/>
  <c r="R55" i="11"/>
  <c r="S55" i="11" s="1"/>
  <c r="AJ55" i="11" s="1"/>
  <c r="R7" i="11"/>
  <c r="S7" i="11" s="1"/>
  <c r="AJ7" i="11" s="1"/>
  <c r="R39" i="11"/>
  <c r="S39" i="11" s="1"/>
  <c r="AJ39" i="11" s="1"/>
  <c r="R65" i="11"/>
  <c r="S65" i="11" s="1"/>
  <c r="T65" i="11" s="1"/>
  <c r="R22" i="11"/>
  <c r="S22" i="11" s="1"/>
  <c r="R54" i="11"/>
  <c r="S54" i="11" s="1"/>
  <c r="R58" i="11"/>
  <c r="R62" i="11"/>
  <c r="S62" i="11" s="1"/>
  <c r="T62" i="11" s="1"/>
  <c r="R73" i="11"/>
  <c r="S73" i="11" s="1"/>
  <c r="R28" i="11"/>
  <c r="S28" i="11" s="1"/>
  <c r="AJ28" i="11" s="1"/>
  <c r="R36" i="11"/>
  <c r="S36" i="11" s="1"/>
  <c r="AJ36" i="11" s="1"/>
  <c r="R60" i="11"/>
  <c r="S60" i="11" s="1"/>
  <c r="R81" i="11"/>
  <c r="S81" i="11" s="1"/>
  <c r="R91" i="11"/>
  <c r="S91" i="11" s="1"/>
  <c r="R32" i="11"/>
  <c r="S32" i="11" s="1"/>
  <c r="AJ32" i="11" s="1"/>
  <c r="R48" i="11"/>
  <c r="S48" i="11" s="1"/>
  <c r="AJ48" i="11" s="1"/>
  <c r="R79" i="11"/>
  <c r="R87" i="11"/>
  <c r="S87" i="11" s="1"/>
  <c r="R4" i="11"/>
  <c r="S4" i="11" s="1"/>
  <c r="AJ4" i="11" s="1"/>
  <c r="R21" i="11"/>
  <c r="S21" i="11" s="1"/>
  <c r="AJ21" i="11" s="1"/>
  <c r="R25" i="11"/>
  <c r="S25" i="11" s="1"/>
  <c r="AJ25" i="11" s="1"/>
  <c r="R45" i="11"/>
  <c r="S45" i="11" s="1"/>
  <c r="T45" i="11" s="1"/>
  <c r="R68" i="11"/>
  <c r="S68" i="11" s="1"/>
  <c r="AJ68" i="11" s="1"/>
  <c r="R78" i="11"/>
  <c r="S78" i="11" s="1"/>
  <c r="S70" i="11"/>
  <c r="AK70" i="11" s="1"/>
  <c r="R29" i="11"/>
  <c r="S29" i="11" s="1"/>
  <c r="AJ29" i="11" s="1"/>
  <c r="R37" i="11"/>
  <c r="S37" i="11" s="1"/>
  <c r="AJ37" i="11" s="1"/>
  <c r="R63" i="11"/>
  <c r="S63" i="11" s="1"/>
  <c r="R74" i="11"/>
  <c r="S74" i="11" s="1"/>
  <c r="AK74" i="11" s="1"/>
  <c r="S12" i="11"/>
  <c r="S83" i="11"/>
  <c r="AK83" i="11" s="1"/>
  <c r="S92" i="11"/>
  <c r="AK92" i="11" s="1"/>
  <c r="R15" i="11"/>
  <c r="S15" i="11" s="1"/>
  <c r="R31" i="11"/>
  <c r="S31" i="11" s="1"/>
  <c r="R43" i="11"/>
  <c r="S43" i="11" s="1"/>
  <c r="AJ43" i="11" s="1"/>
  <c r="R53" i="11"/>
  <c r="S53" i="11" s="1"/>
  <c r="T53" i="11" s="1"/>
  <c r="R69" i="11"/>
  <c r="S69" i="11" s="1"/>
  <c r="R76" i="11"/>
  <c r="S76" i="11" s="1"/>
  <c r="AK76" i="11" s="1"/>
  <c r="R86" i="11"/>
  <c r="S86" i="11" s="1"/>
  <c r="AK86" i="11" s="1"/>
  <c r="R84" i="11"/>
  <c r="S84" i="11" s="1"/>
  <c r="S79" i="11"/>
  <c r="AK79" i="11" s="1"/>
  <c r="R11" i="11"/>
  <c r="S11" i="11" s="1"/>
  <c r="AJ11" i="11" s="1"/>
  <c r="R26" i="11"/>
  <c r="S26" i="11" s="1"/>
  <c r="AJ26" i="11" s="1"/>
  <c r="R47" i="11"/>
  <c r="S47" i="11" s="1"/>
  <c r="T47" i="11" s="1"/>
  <c r="R67" i="11"/>
  <c r="S67" i="11" s="1"/>
  <c r="R72" i="11"/>
  <c r="S72" i="11" s="1"/>
  <c r="AJ72" i="11" s="1"/>
  <c r="R82" i="11"/>
  <c r="S82" i="11" s="1"/>
  <c r="AJ82" i="11" s="1"/>
  <c r="S35" i="11"/>
  <c r="S59" i="11"/>
  <c r="R61" i="11"/>
  <c r="S61" i="11" s="1"/>
  <c r="R20" i="11"/>
  <c r="S20" i="11" s="1"/>
  <c r="R71" i="11"/>
  <c r="S71" i="11" s="1"/>
  <c r="R85" i="11"/>
  <c r="S85" i="11" s="1"/>
  <c r="AK85" i="11" s="1"/>
  <c r="R40" i="11"/>
  <c r="S40" i="11" s="1"/>
  <c r="AJ40" i="11" s="1"/>
  <c r="R16" i="11"/>
  <c r="S16" i="11" s="1"/>
  <c r="AJ16" i="11" s="1"/>
  <c r="R38" i="11"/>
  <c r="S38" i="11" s="1"/>
  <c r="R64" i="11"/>
  <c r="S64" i="11" s="1"/>
  <c r="T64" i="11" s="1"/>
  <c r="R8" i="11"/>
  <c r="S8" i="11" s="1"/>
  <c r="AJ8" i="11" s="1"/>
  <c r="S10" i="11"/>
  <c r="S56" i="11"/>
  <c r="T56" i="11" s="1"/>
  <c r="R75" i="11"/>
  <c r="S75" i="11" s="1"/>
  <c r="R42" i="11"/>
  <c r="S42" i="11" s="1"/>
  <c r="R18" i="11"/>
  <c r="S18" i="11" s="1"/>
  <c r="R51" i="11"/>
  <c r="S51" i="11" s="1"/>
  <c r="S58" i="11"/>
  <c r="R57" i="11"/>
  <c r="S57" i="11" s="1"/>
  <c r="R17" i="11"/>
  <c r="S17" i="11" s="1"/>
  <c r="AJ17" i="11" s="1"/>
  <c r="R77" i="11"/>
  <c r="S77" i="11" s="1"/>
  <c r="R93" i="11"/>
  <c r="S93" i="11" s="1"/>
  <c r="R50" i="11"/>
  <c r="S50" i="11" s="1"/>
  <c r="AJ50" i="11" s="1"/>
  <c r="R90" i="11"/>
  <c r="S90" i="11" s="1"/>
  <c r="R13" i="11"/>
  <c r="S13" i="11" s="1"/>
  <c r="R89" i="11"/>
  <c r="S89" i="11" s="1"/>
  <c r="R44" i="8"/>
  <c r="S44" i="8" s="1"/>
  <c r="AE44" i="8" s="1"/>
  <c r="R32" i="8"/>
  <c r="S32" i="8" s="1"/>
  <c r="AE32" i="8" s="1"/>
  <c r="R69" i="8"/>
  <c r="R11" i="8"/>
  <c r="S11" i="8" s="1"/>
  <c r="AE11" i="8" s="1"/>
  <c r="R16" i="8"/>
  <c r="S16" i="8" s="1"/>
  <c r="AE16" i="8" s="1"/>
  <c r="R83" i="8"/>
  <c r="S83" i="8" s="1"/>
  <c r="R92" i="8"/>
  <c r="S92" i="8" s="1"/>
  <c r="R68" i="8"/>
  <c r="S68" i="8" s="1"/>
  <c r="R17" i="8"/>
  <c r="S17" i="8" s="1"/>
  <c r="AE17" i="8" s="1"/>
  <c r="R54" i="8"/>
  <c r="S54" i="8" s="1"/>
  <c r="R90" i="8"/>
  <c r="S90" i="8" s="1"/>
  <c r="R80" i="8"/>
  <c r="S80" i="8" s="1"/>
  <c r="R15" i="8"/>
  <c r="S15" i="8" s="1"/>
  <c r="R40" i="8"/>
  <c r="S40" i="8" s="1"/>
  <c r="AE40" i="8" s="1"/>
  <c r="R28" i="8"/>
  <c r="S28" i="8" s="1"/>
  <c r="AE28" i="8" s="1"/>
  <c r="R53" i="8"/>
  <c r="S53" i="8" s="1"/>
  <c r="R89" i="8"/>
  <c r="S89" i="8" s="1"/>
  <c r="R78" i="8"/>
  <c r="S78" i="8" s="1"/>
  <c r="R13" i="8"/>
  <c r="S13" i="8" s="1"/>
  <c r="R66" i="8"/>
  <c r="S66" i="8" s="1"/>
  <c r="R49" i="8"/>
  <c r="S49" i="8" s="1"/>
  <c r="AE49" i="8" s="1"/>
  <c r="R39" i="8"/>
  <c r="S39" i="8" s="1"/>
  <c r="AE39" i="8" s="1"/>
  <c r="R7" i="8"/>
  <c r="S7" i="8" s="1"/>
  <c r="AE7" i="8" s="1"/>
  <c r="R47" i="8"/>
  <c r="S47" i="8" s="1"/>
  <c r="R86" i="8"/>
  <c r="S86" i="8" s="1"/>
  <c r="R75" i="8"/>
  <c r="S75" i="8" s="1"/>
  <c r="R48" i="8"/>
  <c r="S48" i="8" s="1"/>
  <c r="AE48" i="8" s="1"/>
  <c r="R36" i="8"/>
  <c r="S36" i="8" s="1"/>
  <c r="AE36" i="8" s="1"/>
  <c r="R24" i="8"/>
  <c r="S24" i="8" s="1"/>
  <c r="AE24" i="8" s="1"/>
  <c r="R30" i="8"/>
  <c r="S30" i="8" s="1"/>
  <c r="AE30" i="8" s="1"/>
  <c r="R6" i="8"/>
  <c r="S6" i="8" s="1"/>
  <c r="AE6" i="8" s="1"/>
  <c r="R45" i="8"/>
  <c r="S45" i="8" s="1"/>
  <c r="R85" i="8"/>
  <c r="S85" i="8" s="1"/>
  <c r="R74" i="8"/>
  <c r="S74" i="8" s="1"/>
  <c r="R20" i="8"/>
  <c r="S20" i="8" s="1"/>
  <c r="R23" i="8"/>
  <c r="S23" i="8" s="1"/>
  <c r="AE23" i="8" s="1"/>
  <c r="R70" i="8"/>
  <c r="S70" i="8" s="1"/>
  <c r="R18" i="8"/>
  <c r="S18" i="8" s="1"/>
  <c r="R33" i="8"/>
  <c r="S33" i="8" s="1"/>
  <c r="R41" i="8"/>
  <c r="S41" i="8" s="1"/>
  <c r="AE41" i="8" s="1"/>
  <c r="S69" i="8"/>
  <c r="R4" i="8"/>
  <c r="S4" i="8" s="1"/>
  <c r="AE4" i="8" s="1"/>
  <c r="R81" i="8"/>
  <c r="S81" i="8" s="1"/>
  <c r="AE81" i="8" s="1"/>
  <c r="R64" i="8"/>
  <c r="S64" i="8" s="1"/>
  <c r="R72" i="8"/>
  <c r="S72" i="8" s="1"/>
  <c r="R21" i="8"/>
  <c r="S21" i="8" s="1"/>
  <c r="AE21" i="8" s="1"/>
  <c r="R57" i="8"/>
  <c r="S57" i="8" s="1"/>
  <c r="R35" i="8"/>
  <c r="S35" i="8" s="1"/>
  <c r="R82" i="8"/>
  <c r="S82" i="8" s="1"/>
  <c r="R5" i="8"/>
  <c r="S5" i="8" s="1"/>
  <c r="AE5" i="8" s="1"/>
  <c r="R29" i="8"/>
  <c r="S29" i="8" s="1"/>
  <c r="AE29" i="8" s="1"/>
  <c r="R59" i="8"/>
  <c r="S59" i="8" s="1"/>
  <c r="R84" i="8"/>
  <c r="S84" i="8" s="1"/>
  <c r="R71" i="8"/>
  <c r="S71" i="8" s="1"/>
  <c r="R56" i="8"/>
  <c r="S56" i="8" s="1"/>
  <c r="R63" i="8"/>
  <c r="S63" i="8" s="1"/>
  <c r="R27" i="8"/>
  <c r="S27" i="8" s="1"/>
  <c r="R58" i="8"/>
  <c r="S58" i="8" s="1"/>
  <c r="R79" i="8"/>
  <c r="S79" i="8" s="1"/>
  <c r="AE79" i="8" s="1"/>
  <c r="R67" i="8"/>
  <c r="S67" i="8" s="1"/>
  <c r="AE67" i="8" s="1"/>
  <c r="R55" i="8"/>
  <c r="S55" i="8" s="1"/>
  <c r="AE55" i="8" s="1"/>
  <c r="R19" i="8"/>
  <c r="S19" i="8" s="1"/>
  <c r="AE19" i="8" s="1"/>
  <c r="R62" i="8"/>
  <c r="S62" i="8" s="1"/>
  <c r="R12" i="8"/>
  <c r="S12" i="8" s="1"/>
  <c r="R42" i="8"/>
  <c r="S42" i="8" s="1"/>
  <c r="R91" i="8"/>
  <c r="S91" i="8" s="1"/>
  <c r="R22" i="8"/>
  <c r="S22" i="8" s="1"/>
  <c r="R9" i="8"/>
  <c r="S9" i="8" s="1"/>
  <c r="AE9" i="8" s="1"/>
  <c r="R52" i="8"/>
  <c r="S52" i="8" s="1"/>
  <c r="R88" i="8"/>
  <c r="S88" i="8" s="1"/>
  <c r="R77" i="8"/>
  <c r="S77" i="8" s="1"/>
  <c r="R50" i="8"/>
  <c r="S50" i="8" s="1"/>
  <c r="AE50" i="8" s="1"/>
  <c r="R10" i="8"/>
  <c r="S10" i="8" s="1"/>
  <c r="R26" i="8"/>
  <c r="S26" i="8" s="1"/>
  <c r="AE26" i="8" s="1"/>
  <c r="R14" i="8"/>
  <c r="S14" i="8" s="1"/>
  <c r="AE14" i="8" s="1"/>
  <c r="R51" i="8"/>
  <c r="S51" i="8" s="1"/>
  <c r="R87" i="8"/>
  <c r="S87" i="8" s="1"/>
  <c r="R76" i="8"/>
  <c r="S76" i="8" s="1"/>
  <c r="R38" i="8"/>
  <c r="S38" i="8" s="1"/>
  <c r="R43" i="8"/>
  <c r="S43" i="8" s="1"/>
  <c r="AE43" i="8" s="1"/>
  <c r="R31" i="8"/>
  <c r="S31" i="8" s="1"/>
  <c r="R37" i="8"/>
  <c r="S37" i="8" s="1"/>
  <c r="AE37" i="8" s="1"/>
  <c r="R61" i="8"/>
  <c r="S61" i="8" s="1"/>
  <c r="R8" i="8"/>
  <c r="S8" i="8" s="1"/>
  <c r="AE8" i="8" s="1"/>
  <c r="R25" i="8"/>
  <c r="S25" i="8" s="1"/>
  <c r="AE25" i="8" s="1"/>
  <c r="R65" i="8"/>
  <c r="S65" i="8" s="1"/>
  <c r="R73" i="8"/>
  <c r="S73" i="8" s="1"/>
  <c r="R46" i="8"/>
  <c r="S46" i="8" s="1"/>
  <c r="AE46" i="8" s="1"/>
  <c r="R34" i="8"/>
  <c r="S34" i="8" s="1"/>
  <c r="AE34" i="8" s="1"/>
  <c r="Q60" i="8"/>
  <c r="R60" i="8" s="1"/>
  <c r="S60" i="8" s="1"/>
  <c r="AU33" i="11" l="1"/>
  <c r="T33" i="11"/>
  <c r="AU52" i="11"/>
  <c r="T52" i="11"/>
  <c r="AU58" i="11"/>
  <c r="T58" i="11"/>
  <c r="AU51" i="11"/>
  <c r="T51" i="11"/>
  <c r="AU12" i="11"/>
  <c r="T12" i="11"/>
  <c r="AU54" i="11"/>
  <c r="T54" i="11"/>
  <c r="AU15" i="11"/>
  <c r="T15" i="11"/>
  <c r="AU57" i="11"/>
  <c r="T57" i="11"/>
  <c r="AU13" i="11"/>
  <c r="T13" i="11"/>
  <c r="AU61" i="11"/>
  <c r="T61" i="11"/>
  <c r="AU31" i="11"/>
  <c r="T31" i="11"/>
  <c r="AU38" i="11"/>
  <c r="T38" i="11"/>
  <c r="AU18" i="11"/>
  <c r="T18" i="11"/>
  <c r="AU22" i="11"/>
  <c r="T22" i="11"/>
  <c r="AU63" i="11"/>
  <c r="T63" i="11"/>
  <c r="AU42" i="11"/>
  <c r="T42" i="11"/>
  <c r="AU20" i="11"/>
  <c r="T20" i="11"/>
  <c r="AU59" i="11"/>
  <c r="T59" i="11"/>
  <c r="AU35" i="11"/>
  <c r="T35" i="11"/>
  <c r="AU60" i="11"/>
  <c r="T60" i="11"/>
  <c r="AU27" i="11"/>
  <c r="T27" i="11"/>
  <c r="AU10" i="11"/>
  <c r="T10" i="11"/>
  <c r="AK64" i="11"/>
  <c r="AL64" i="11" s="1"/>
  <c r="AU64" i="11"/>
  <c r="AJ47" i="11"/>
  <c r="AU47" i="11"/>
  <c r="AK62" i="11"/>
  <c r="AL62" i="11" s="1"/>
  <c r="AU62" i="11"/>
  <c r="AK65" i="11"/>
  <c r="AL65" i="11" s="1"/>
  <c r="AU65" i="11"/>
  <c r="AK56" i="11"/>
  <c r="AL56" i="11" s="1"/>
  <c r="AU56" i="11"/>
  <c r="AJ53" i="11"/>
  <c r="AU53" i="11"/>
  <c r="AS12" i="11"/>
  <c r="AJ45" i="11"/>
  <c r="AU45" i="11"/>
  <c r="AJ64" i="11"/>
  <c r="AS54" i="11"/>
  <c r="AJ54" i="11"/>
  <c r="AK54" i="11"/>
  <c r="AL54" i="11" s="1"/>
  <c r="AJ13" i="11"/>
  <c r="AK13" i="11"/>
  <c r="AL13" i="11" s="1"/>
  <c r="AK42" i="11"/>
  <c r="AL42" i="11" s="1"/>
  <c r="AJ42" i="11"/>
  <c r="AJ33" i="11"/>
  <c r="AK33" i="11"/>
  <c r="AL33" i="11" s="1"/>
  <c r="AJ20" i="11"/>
  <c r="AK20" i="11"/>
  <c r="AL20" i="11" s="1"/>
  <c r="AJ63" i="11"/>
  <c r="AK63" i="11"/>
  <c r="AL63" i="11" s="1"/>
  <c r="AJ22" i="11"/>
  <c r="AK22" i="11"/>
  <c r="AL22" i="11" s="1"/>
  <c r="AQ61" i="11"/>
  <c r="AJ61" i="11"/>
  <c r="AJ59" i="11"/>
  <c r="AK59" i="11"/>
  <c r="AL59" i="11" s="1"/>
  <c r="AS27" i="11"/>
  <c r="AJ27" i="11"/>
  <c r="AK27" i="11"/>
  <c r="AL27" i="11" s="1"/>
  <c r="AJ65" i="11"/>
  <c r="AK10" i="11"/>
  <c r="AL10" i="11" s="1"/>
  <c r="AJ10" i="11"/>
  <c r="AR35" i="11"/>
  <c r="AJ35" i="11"/>
  <c r="AK35" i="11"/>
  <c r="AL35" i="11" s="1"/>
  <c r="AJ56" i="11"/>
  <c r="AJ60" i="11"/>
  <c r="AK60" i="11"/>
  <c r="AL60" i="11" s="1"/>
  <c r="AJ57" i="11"/>
  <c r="AK57" i="11"/>
  <c r="AL57" i="11" s="1"/>
  <c r="AS31" i="11"/>
  <c r="AJ31" i="11"/>
  <c r="AK31" i="11"/>
  <c r="AL31" i="11" s="1"/>
  <c r="AJ58" i="11"/>
  <c r="AK58" i="11"/>
  <c r="AL58" i="11" s="1"/>
  <c r="AO38" i="11"/>
  <c r="AX38" i="11" s="1"/>
  <c r="AY38" i="11" s="1"/>
  <c r="AZ38" i="11" s="1"/>
  <c r="BA38" i="11" s="1"/>
  <c r="BB38" i="11" s="1"/>
  <c r="BC38" i="11" s="1"/>
  <c r="BD38" i="11" s="1"/>
  <c r="AJ38" i="11"/>
  <c r="AK38" i="11"/>
  <c r="AL38" i="11" s="1"/>
  <c r="AJ15" i="11"/>
  <c r="AK15" i="11"/>
  <c r="AL15" i="11" s="1"/>
  <c r="AK61" i="11"/>
  <c r="AL61" i="11" s="1"/>
  <c r="AK51" i="11"/>
  <c r="AL51" i="11" s="1"/>
  <c r="AJ51" i="11"/>
  <c r="AK47" i="11"/>
  <c r="AL47" i="11" s="1"/>
  <c r="AK53" i="11"/>
  <c r="AL53" i="11" s="1"/>
  <c r="AJ18" i="11"/>
  <c r="AK18" i="11"/>
  <c r="AL18" i="11" s="1"/>
  <c r="AK45" i="11"/>
  <c r="AL45" i="11" s="1"/>
  <c r="AJ62" i="11"/>
  <c r="AK52" i="11"/>
  <c r="AL52" i="11" s="1"/>
  <c r="AJ52" i="11"/>
  <c r="AP12" i="11"/>
  <c r="AK12" i="11"/>
  <c r="AL12" i="11" s="1"/>
  <c r="AJ12" i="11"/>
  <c r="AQ31" i="11"/>
  <c r="AK91" i="11"/>
  <c r="AJ91" i="11"/>
  <c r="AT31" i="11"/>
  <c r="AJ79" i="11"/>
  <c r="AS61" i="11"/>
  <c r="AK72" i="11"/>
  <c r="AQ12" i="11"/>
  <c r="AJ92" i="11"/>
  <c r="AP31" i="11"/>
  <c r="AR60" i="11"/>
  <c r="AO60" i="11"/>
  <c r="AX60" i="11" s="1"/>
  <c r="AY60" i="11" s="1"/>
  <c r="AZ60" i="11" s="1"/>
  <c r="BA60" i="11" s="1"/>
  <c r="BB60" i="11" s="1"/>
  <c r="BC60" i="11" s="1"/>
  <c r="BD60" i="11" s="1"/>
  <c r="AS60" i="11"/>
  <c r="AP62" i="11"/>
  <c r="AT62" i="11"/>
  <c r="AQ62" i="11"/>
  <c r="AO22" i="11"/>
  <c r="AX22" i="11" s="1"/>
  <c r="AY22" i="11" s="1"/>
  <c r="AZ22" i="11" s="1"/>
  <c r="BA22" i="11" s="1"/>
  <c r="BB22" i="11" s="1"/>
  <c r="BC22" i="11" s="1"/>
  <c r="BD22" i="11" s="1"/>
  <c r="AS22" i="11"/>
  <c r="AT12" i="11"/>
  <c r="AT22" i="11"/>
  <c r="AO12" i="11"/>
  <c r="AX12" i="11" s="1"/>
  <c r="AY12" i="11" s="1"/>
  <c r="AZ12" i="11" s="1"/>
  <c r="BA12" i="11" s="1"/>
  <c r="BB12" i="11" s="1"/>
  <c r="BC12" i="11" s="1"/>
  <c r="BD12" i="11" s="1"/>
  <c r="AO31" i="11"/>
  <c r="AX31" i="11" s="1"/>
  <c r="AY31" i="11" s="1"/>
  <c r="AZ31" i="11" s="1"/>
  <c r="BA31" i="11" s="1"/>
  <c r="BB31" i="11" s="1"/>
  <c r="BC31" i="11" s="1"/>
  <c r="BD31" i="11" s="1"/>
  <c r="AP22" i="11"/>
  <c r="AO27" i="11"/>
  <c r="AX27" i="11" s="1"/>
  <c r="AY27" i="11" s="1"/>
  <c r="AZ27" i="11" s="1"/>
  <c r="BA27" i="11" s="1"/>
  <c r="BB27" i="11" s="1"/>
  <c r="BC27" i="11" s="1"/>
  <c r="BD27" i="11" s="1"/>
  <c r="AQ22" i="11"/>
  <c r="AP27" i="11"/>
  <c r="AR22" i="11"/>
  <c r="AQ27" i="11"/>
  <c r="AR12" i="11"/>
  <c r="AR27" i="11"/>
  <c r="AT27" i="11"/>
  <c r="AQ59" i="11"/>
  <c r="AT20" i="11"/>
  <c r="AO15" i="11"/>
  <c r="AX15" i="11" s="1"/>
  <c r="AY15" i="11" s="1"/>
  <c r="AZ15" i="11" s="1"/>
  <c r="BA15" i="11" s="1"/>
  <c r="BB15" i="11" s="1"/>
  <c r="BC15" i="11" s="1"/>
  <c r="BD15" i="11" s="1"/>
  <c r="AP15" i="11"/>
  <c r="AT15" i="11"/>
  <c r="AR54" i="11"/>
  <c r="AT54" i="11"/>
  <c r="AO54" i="11"/>
  <c r="AX54" i="11" s="1"/>
  <c r="AY54" i="11" s="1"/>
  <c r="AZ54" i="11" s="1"/>
  <c r="BA54" i="11" s="1"/>
  <c r="BB54" i="11" s="1"/>
  <c r="BC54" i="11" s="1"/>
  <c r="BD54" i="11" s="1"/>
  <c r="AQ54" i="11"/>
  <c r="AP60" i="11"/>
  <c r="AR31" i="11"/>
  <c r="AJ70" i="11"/>
  <c r="AR20" i="11"/>
  <c r="AQ60" i="11"/>
  <c r="AT60" i="11"/>
  <c r="AR61" i="11"/>
  <c r="AT61" i="11"/>
  <c r="AP54" i="11"/>
  <c r="AJ86" i="11"/>
  <c r="AO61" i="11"/>
  <c r="AX61" i="11" s="1"/>
  <c r="AY61" i="11" s="1"/>
  <c r="AZ61" i="11" s="1"/>
  <c r="BA61" i="11" s="1"/>
  <c r="BB61" i="11" s="1"/>
  <c r="BC61" i="11" s="1"/>
  <c r="BD61" i="11" s="1"/>
  <c r="AJ83" i="11"/>
  <c r="AQ35" i="11"/>
  <c r="AO59" i="11"/>
  <c r="AX59" i="11" s="1"/>
  <c r="AY59" i="11" s="1"/>
  <c r="AZ59" i="11" s="1"/>
  <c r="BA59" i="11" s="1"/>
  <c r="BB59" i="11" s="1"/>
  <c r="BC59" i="11" s="1"/>
  <c r="BD59" i="11" s="1"/>
  <c r="AP20" i="11"/>
  <c r="AS20" i="11"/>
  <c r="AQ20" i="11"/>
  <c r="AK84" i="11"/>
  <c r="AJ84" i="11"/>
  <c r="AP38" i="11"/>
  <c r="AS59" i="11"/>
  <c r="AJ71" i="11"/>
  <c r="AK71" i="11"/>
  <c r="AJ85" i="11"/>
  <c r="AR38" i="11"/>
  <c r="AT59" i="11"/>
  <c r="AS38" i="11"/>
  <c r="AO20" i="11"/>
  <c r="AX20" i="11" s="1"/>
  <c r="AY20" i="11" s="1"/>
  <c r="AZ20" i="11" s="1"/>
  <c r="BA20" i="11" s="1"/>
  <c r="BB20" i="11" s="1"/>
  <c r="BC20" i="11" s="1"/>
  <c r="BD20" i="11" s="1"/>
  <c r="AS35" i="11"/>
  <c r="AJ74" i="11"/>
  <c r="AP61" i="11"/>
  <c r="AJ76" i="11"/>
  <c r="AR62" i="11"/>
  <c r="AQ15" i="11"/>
  <c r="AR15" i="11"/>
  <c r="AO62" i="11"/>
  <c r="AX62" i="11" s="1"/>
  <c r="AY62" i="11" s="1"/>
  <c r="AZ62" i="11" s="1"/>
  <c r="BA62" i="11" s="1"/>
  <c r="BB62" i="11" s="1"/>
  <c r="BC62" i="11" s="1"/>
  <c r="BD62" i="11" s="1"/>
  <c r="AR59" i="11"/>
  <c r="AP59" i="11"/>
  <c r="AS62" i="11"/>
  <c r="AO35" i="11"/>
  <c r="AX35" i="11" s="1"/>
  <c r="AY35" i="11" s="1"/>
  <c r="AZ35" i="11" s="1"/>
  <c r="BA35" i="11" s="1"/>
  <c r="BB35" i="11" s="1"/>
  <c r="BC35" i="11" s="1"/>
  <c r="BD35" i="11" s="1"/>
  <c r="AP35" i="11"/>
  <c r="AS15" i="11"/>
  <c r="AQ38" i="11"/>
  <c r="AT35" i="11"/>
  <c r="AT38" i="11"/>
  <c r="AK81" i="11"/>
  <c r="AJ81" i="11"/>
  <c r="AK67" i="11"/>
  <c r="AJ67" i="11"/>
  <c r="AS57" i="11"/>
  <c r="AT57" i="11"/>
  <c r="AR57" i="11"/>
  <c r="AQ57" i="11"/>
  <c r="AP57" i="11"/>
  <c r="AO57" i="11"/>
  <c r="AX57" i="11" s="1"/>
  <c r="AY57" i="11" s="1"/>
  <c r="AZ57" i="11" s="1"/>
  <c r="BA57" i="11" s="1"/>
  <c r="BB57" i="11" s="1"/>
  <c r="BC57" i="11" s="1"/>
  <c r="BD57" i="11" s="1"/>
  <c r="AK93" i="11"/>
  <c r="AJ93" i="11"/>
  <c r="AJ89" i="11"/>
  <c r="AK89" i="11"/>
  <c r="AJ73" i="11"/>
  <c r="AK73" i="11"/>
  <c r="AQ47" i="11"/>
  <c r="AT47" i="11"/>
  <c r="AS47" i="11"/>
  <c r="AR47" i="11"/>
  <c r="AO47" i="11"/>
  <c r="AX47" i="11" s="1"/>
  <c r="AY47" i="11" s="1"/>
  <c r="AZ47" i="11" s="1"/>
  <c r="BA47" i="11" s="1"/>
  <c r="BB47" i="11" s="1"/>
  <c r="BC47" i="11" s="1"/>
  <c r="BD47" i="11" s="1"/>
  <c r="AP47" i="11"/>
  <c r="AK90" i="11"/>
  <c r="AJ90" i="11"/>
  <c r="AK78" i="11"/>
  <c r="AJ78" i="11"/>
  <c r="AT33" i="11"/>
  <c r="AS33" i="11"/>
  <c r="AR33" i="11"/>
  <c r="AQ33" i="11"/>
  <c r="AP33" i="11"/>
  <c r="AO33" i="11"/>
  <c r="AX33" i="11" s="1"/>
  <c r="AY33" i="11" s="1"/>
  <c r="AZ33" i="11" s="1"/>
  <c r="BA33" i="11" s="1"/>
  <c r="BB33" i="11" s="1"/>
  <c r="BC33" i="11" s="1"/>
  <c r="BD33" i="11" s="1"/>
  <c r="AK77" i="11"/>
  <c r="AJ77" i="11"/>
  <c r="AP45" i="11"/>
  <c r="AO45" i="11"/>
  <c r="AX45" i="11" s="1"/>
  <c r="AY45" i="11" s="1"/>
  <c r="AZ45" i="11" s="1"/>
  <c r="BA45" i="11" s="1"/>
  <c r="BB45" i="11" s="1"/>
  <c r="BC45" i="11" s="1"/>
  <c r="BD45" i="11" s="1"/>
  <c r="AT45" i="11"/>
  <c r="AS45" i="11"/>
  <c r="AQ45" i="11"/>
  <c r="AR45" i="11"/>
  <c r="AT56" i="11"/>
  <c r="AR56" i="11"/>
  <c r="AS56" i="11"/>
  <c r="AP56" i="11"/>
  <c r="AO56" i="11"/>
  <c r="AX56" i="11" s="1"/>
  <c r="AY56" i="11" s="1"/>
  <c r="AZ56" i="11" s="1"/>
  <c r="BA56" i="11" s="1"/>
  <c r="BB56" i="11" s="1"/>
  <c r="BC56" i="11" s="1"/>
  <c r="BD56" i="11" s="1"/>
  <c r="AQ56" i="11"/>
  <c r="AO65" i="11"/>
  <c r="AX65" i="11" s="1"/>
  <c r="AY65" i="11" s="1"/>
  <c r="AZ65" i="11" s="1"/>
  <c r="BA65" i="11" s="1"/>
  <c r="BB65" i="11" s="1"/>
  <c r="BC65" i="11" s="1"/>
  <c r="BD65" i="11" s="1"/>
  <c r="AT65" i="11"/>
  <c r="AS65" i="11"/>
  <c r="AR65" i="11"/>
  <c r="AQ65" i="11"/>
  <c r="AP65" i="11"/>
  <c r="AR10" i="11"/>
  <c r="AQ10" i="11"/>
  <c r="AP10" i="11"/>
  <c r="AO10" i="11"/>
  <c r="AX10" i="11" s="1"/>
  <c r="AY10" i="11" s="1"/>
  <c r="AZ10" i="11" s="1"/>
  <c r="BA10" i="11" s="1"/>
  <c r="BB10" i="11" s="1"/>
  <c r="BC10" i="11" s="1"/>
  <c r="BD10" i="11" s="1"/>
  <c r="AT10" i="11"/>
  <c r="AS10" i="11"/>
  <c r="AO13" i="11"/>
  <c r="AX13" i="11" s="1"/>
  <c r="AY13" i="11" s="1"/>
  <c r="AZ13" i="11" s="1"/>
  <c r="BA13" i="11" s="1"/>
  <c r="BB13" i="11" s="1"/>
  <c r="BC13" i="11" s="1"/>
  <c r="BD13" i="11" s="1"/>
  <c r="AT13" i="11"/>
  <c r="AS13" i="11"/>
  <c r="AR13" i="11"/>
  <c r="AQ13" i="11"/>
  <c r="AP13" i="11"/>
  <c r="AR58" i="11"/>
  <c r="AT58" i="11"/>
  <c r="AS58" i="11"/>
  <c r="AQ58" i="11"/>
  <c r="AP58" i="11"/>
  <c r="AO58" i="11"/>
  <c r="AX58" i="11" s="1"/>
  <c r="AY58" i="11" s="1"/>
  <c r="AZ58" i="11" s="1"/>
  <c r="BA58" i="11" s="1"/>
  <c r="BB58" i="11" s="1"/>
  <c r="BC58" i="11" s="1"/>
  <c r="BD58" i="11" s="1"/>
  <c r="AQ53" i="11"/>
  <c r="AT53" i="11"/>
  <c r="AS53" i="11"/>
  <c r="AR53" i="11"/>
  <c r="AP53" i="11"/>
  <c r="AO53" i="11"/>
  <c r="AX53" i="11" s="1"/>
  <c r="AY53" i="11" s="1"/>
  <c r="AZ53" i="11" s="1"/>
  <c r="BA53" i="11" s="1"/>
  <c r="BB53" i="11" s="1"/>
  <c r="BC53" i="11" s="1"/>
  <c r="BD53" i="11" s="1"/>
  <c r="AT64" i="11"/>
  <c r="AS64" i="11"/>
  <c r="AR64" i="11"/>
  <c r="AQ64" i="11"/>
  <c r="AP64" i="11"/>
  <c r="AO64" i="11"/>
  <c r="AX64" i="11" s="1"/>
  <c r="AY64" i="11" s="1"/>
  <c r="AZ64" i="11" s="1"/>
  <c r="BA64" i="11" s="1"/>
  <c r="BB64" i="11" s="1"/>
  <c r="BC64" i="11" s="1"/>
  <c r="BD64" i="11" s="1"/>
  <c r="AK87" i="11"/>
  <c r="AJ87" i="11"/>
  <c r="AR52" i="11"/>
  <c r="AT52" i="11"/>
  <c r="AQ52" i="11"/>
  <c r="AP52" i="11"/>
  <c r="AO52" i="11"/>
  <c r="AX52" i="11" s="1"/>
  <c r="AY52" i="11" s="1"/>
  <c r="AZ52" i="11" s="1"/>
  <c r="BA52" i="11" s="1"/>
  <c r="BB52" i="11" s="1"/>
  <c r="BC52" i="11" s="1"/>
  <c r="BD52" i="11" s="1"/>
  <c r="AS52" i="11"/>
  <c r="AS51" i="11"/>
  <c r="AR51" i="11"/>
  <c r="AQ51" i="11"/>
  <c r="AP51" i="11"/>
  <c r="AO51" i="11"/>
  <c r="AX51" i="11" s="1"/>
  <c r="AY51" i="11" s="1"/>
  <c r="AZ51" i="11" s="1"/>
  <c r="BA51" i="11" s="1"/>
  <c r="BB51" i="11" s="1"/>
  <c r="BC51" i="11" s="1"/>
  <c r="BD51" i="11" s="1"/>
  <c r="AT51" i="11"/>
  <c r="AP42" i="11"/>
  <c r="AQ42" i="11"/>
  <c r="AO42" i="11"/>
  <c r="AX42" i="11" s="1"/>
  <c r="AY42" i="11" s="1"/>
  <c r="AZ42" i="11" s="1"/>
  <c r="BA42" i="11" s="1"/>
  <c r="BB42" i="11" s="1"/>
  <c r="BC42" i="11" s="1"/>
  <c r="BD42" i="11" s="1"/>
  <c r="AT42" i="11"/>
  <c r="AS42" i="11"/>
  <c r="AR42" i="11"/>
  <c r="AK88" i="11"/>
  <c r="AJ88" i="11"/>
  <c r="AP18" i="11"/>
  <c r="AQ18" i="11"/>
  <c r="AO18" i="11"/>
  <c r="AX18" i="11" s="1"/>
  <c r="AY18" i="11" s="1"/>
  <c r="AZ18" i="11" s="1"/>
  <c r="BA18" i="11" s="1"/>
  <c r="BB18" i="11" s="1"/>
  <c r="BC18" i="11" s="1"/>
  <c r="BD18" i="11" s="1"/>
  <c r="AT18" i="11"/>
  <c r="AS18" i="11"/>
  <c r="AR18" i="11"/>
  <c r="AK75" i="11"/>
  <c r="AJ75" i="11"/>
  <c r="AJ69" i="11"/>
  <c r="AK69" i="11"/>
  <c r="AT63" i="11"/>
  <c r="AR63" i="11"/>
  <c r="AP63" i="11"/>
  <c r="AQ63" i="11"/>
  <c r="AO63" i="11"/>
  <c r="AX63" i="11" s="1"/>
  <c r="AY63" i="11" s="1"/>
  <c r="AZ63" i="11" s="1"/>
  <c r="BA63" i="11" s="1"/>
  <c r="BB63" i="11" s="1"/>
  <c r="BC63" i="11" s="1"/>
  <c r="BD63" i="11" s="1"/>
  <c r="AS63" i="11"/>
  <c r="AN47" i="8"/>
  <c r="AM47" i="8"/>
  <c r="AF47" i="8"/>
  <c r="AL47" i="8"/>
  <c r="AE47" i="8"/>
  <c r="AI47" i="8"/>
  <c r="AK47" i="8"/>
  <c r="AJ47" i="8"/>
  <c r="AF77" i="8"/>
  <c r="AE77" i="8"/>
  <c r="AF88" i="8"/>
  <c r="AE88" i="8"/>
  <c r="AF27" i="8"/>
  <c r="AE27" i="8"/>
  <c r="AN27" i="8"/>
  <c r="AM27" i="8"/>
  <c r="AL27" i="8"/>
  <c r="AK27" i="8"/>
  <c r="AJ27" i="8"/>
  <c r="AI27" i="8"/>
  <c r="AN63" i="8"/>
  <c r="AM63" i="8"/>
  <c r="AL63" i="8"/>
  <c r="AF63" i="8"/>
  <c r="AK63" i="8"/>
  <c r="AE63" i="8"/>
  <c r="AJ63" i="8"/>
  <c r="AI63" i="8"/>
  <c r="AN64" i="8"/>
  <c r="AM64" i="8"/>
  <c r="AL64" i="8"/>
  <c r="AF64" i="8"/>
  <c r="AK64" i="8"/>
  <c r="AE64" i="8"/>
  <c r="AJ64" i="8"/>
  <c r="AI64" i="8"/>
  <c r="AF45" i="8"/>
  <c r="AE45" i="8"/>
  <c r="AN45" i="8"/>
  <c r="AM45" i="8"/>
  <c r="AL45" i="8"/>
  <c r="AK45" i="8"/>
  <c r="AJ45" i="8"/>
  <c r="AI45" i="8"/>
  <c r="AF66" i="8"/>
  <c r="AE66" i="8"/>
  <c r="AE68" i="8"/>
  <c r="AF68" i="8"/>
  <c r="AN38" i="8"/>
  <c r="AM38" i="8"/>
  <c r="AL38" i="8"/>
  <c r="AK38" i="8"/>
  <c r="AJ38" i="8"/>
  <c r="AI38" i="8"/>
  <c r="AF38" i="8"/>
  <c r="AE38" i="8"/>
  <c r="AN22" i="8"/>
  <c r="AM22" i="8"/>
  <c r="AL22" i="8"/>
  <c r="AK22" i="8"/>
  <c r="AJ22" i="8"/>
  <c r="AF22" i="8"/>
  <c r="AI22" i="8"/>
  <c r="AE22" i="8"/>
  <c r="AF56" i="8"/>
  <c r="AE56" i="8"/>
  <c r="AN56" i="8"/>
  <c r="AM56" i="8"/>
  <c r="AL56" i="8"/>
  <c r="AK56" i="8"/>
  <c r="AJ56" i="8"/>
  <c r="AI56" i="8"/>
  <c r="AN13" i="8"/>
  <c r="AM13" i="8"/>
  <c r="AF13" i="8"/>
  <c r="AJ13" i="8"/>
  <c r="AL13" i="8"/>
  <c r="AE13" i="8"/>
  <c r="AK13" i="8"/>
  <c r="AI13" i="8"/>
  <c r="AF92" i="8"/>
  <c r="AE92" i="8"/>
  <c r="AN61" i="8"/>
  <c r="AM61" i="8"/>
  <c r="AL61" i="8"/>
  <c r="AE61" i="8"/>
  <c r="AF61" i="8"/>
  <c r="AK61" i="8"/>
  <c r="AJ61" i="8"/>
  <c r="AI61" i="8"/>
  <c r="AN20" i="8"/>
  <c r="AM20" i="8"/>
  <c r="AL20" i="8"/>
  <c r="AK20" i="8"/>
  <c r="AJ20" i="8"/>
  <c r="AI20" i="8"/>
  <c r="AF20" i="8"/>
  <c r="AE20" i="8"/>
  <c r="AF74" i="8"/>
  <c r="AE74" i="8"/>
  <c r="AN52" i="8"/>
  <c r="AM52" i="8"/>
  <c r="AF52" i="8"/>
  <c r="AE52" i="8"/>
  <c r="AI52" i="8"/>
  <c r="AL52" i="8"/>
  <c r="AJ52" i="8"/>
  <c r="AK52" i="8"/>
  <c r="AF85" i="8"/>
  <c r="AE85" i="8"/>
  <c r="AF76" i="8"/>
  <c r="AE76" i="8"/>
  <c r="AF83" i="8"/>
  <c r="AE83" i="8"/>
  <c r="AF87" i="8"/>
  <c r="AE87" i="8"/>
  <c r="AF84" i="8"/>
  <c r="AE84" i="8"/>
  <c r="AF69" i="8"/>
  <c r="AE69" i="8"/>
  <c r="AF89" i="8"/>
  <c r="AE89" i="8"/>
  <c r="AF12" i="8"/>
  <c r="AE12" i="8"/>
  <c r="AN12" i="8"/>
  <c r="AM12" i="8"/>
  <c r="AL12" i="8"/>
  <c r="AK12" i="8"/>
  <c r="AJ12" i="8"/>
  <c r="AI12" i="8"/>
  <c r="AE73" i="8"/>
  <c r="AF73" i="8"/>
  <c r="AF62" i="8"/>
  <c r="AE62" i="8"/>
  <c r="AN62" i="8"/>
  <c r="AM62" i="8"/>
  <c r="AI62" i="8"/>
  <c r="AL62" i="8"/>
  <c r="AK62" i="8"/>
  <c r="AJ62" i="8"/>
  <c r="AN33" i="8"/>
  <c r="AM33" i="8"/>
  <c r="AL33" i="8"/>
  <c r="AF33" i="8"/>
  <c r="AK33" i="8"/>
  <c r="AE33" i="8"/>
  <c r="AJ33" i="8"/>
  <c r="AI33" i="8"/>
  <c r="AN65" i="8"/>
  <c r="AM65" i="8"/>
  <c r="AL65" i="8"/>
  <c r="AF65" i="8"/>
  <c r="AE65" i="8"/>
  <c r="AK65" i="8"/>
  <c r="AJ65" i="8"/>
  <c r="AI65" i="8"/>
  <c r="AN18" i="8"/>
  <c r="AM18" i="8"/>
  <c r="AF18" i="8"/>
  <c r="AE18" i="8"/>
  <c r="AI18" i="8"/>
  <c r="AJ18" i="8"/>
  <c r="AK18" i="8"/>
  <c r="AL18" i="8"/>
  <c r="AF75" i="8"/>
  <c r="AE75" i="8"/>
  <c r="AN35" i="8"/>
  <c r="AM35" i="8"/>
  <c r="AF35" i="8"/>
  <c r="AE35" i="8"/>
  <c r="AI35" i="8"/>
  <c r="AL35" i="8"/>
  <c r="AK35" i="8"/>
  <c r="AJ35" i="8"/>
  <c r="AF80" i="8"/>
  <c r="AE80" i="8"/>
  <c r="AN57" i="8"/>
  <c r="AM57" i="8"/>
  <c r="AF57" i="8"/>
  <c r="AI57" i="8"/>
  <c r="AL57" i="8"/>
  <c r="AJ57" i="8"/>
  <c r="AK57" i="8"/>
  <c r="AE57" i="8"/>
  <c r="AF90" i="8"/>
  <c r="AE90" i="8"/>
  <c r="AN58" i="8"/>
  <c r="AM58" i="8"/>
  <c r="AL58" i="8"/>
  <c r="AF58" i="8"/>
  <c r="AK58" i="8"/>
  <c r="AE58" i="8"/>
  <c r="AJ58" i="8"/>
  <c r="AI58" i="8"/>
  <c r="AN54" i="8"/>
  <c r="AM54" i="8"/>
  <c r="AL54" i="8"/>
  <c r="AF54" i="8"/>
  <c r="AE54" i="8"/>
  <c r="AK54" i="8"/>
  <c r="AJ54" i="8"/>
  <c r="AI54" i="8"/>
  <c r="AN31" i="8"/>
  <c r="AM31" i="8"/>
  <c r="AF31" i="8"/>
  <c r="AL31" i="8"/>
  <c r="AJ31" i="8"/>
  <c r="AK31" i="8"/>
  <c r="AI31" i="8"/>
  <c r="AE31" i="8"/>
  <c r="AF72" i="8"/>
  <c r="AE72" i="8"/>
  <c r="AN60" i="8"/>
  <c r="AM60" i="8"/>
  <c r="AL60" i="8"/>
  <c r="AK60" i="8"/>
  <c r="AJ60" i="8"/>
  <c r="AI60" i="8"/>
  <c r="AF60" i="8"/>
  <c r="AE60" i="8"/>
  <c r="AF91" i="8"/>
  <c r="AE91" i="8"/>
  <c r="AF71" i="8"/>
  <c r="AE71" i="8"/>
  <c r="AF78" i="8"/>
  <c r="AE78" i="8"/>
  <c r="AN42" i="8"/>
  <c r="AM42" i="8"/>
  <c r="AL42" i="8"/>
  <c r="AF42" i="8"/>
  <c r="AE42" i="8"/>
  <c r="AK42" i="8"/>
  <c r="AJ42" i="8"/>
  <c r="AI42" i="8"/>
  <c r="AN51" i="8"/>
  <c r="AM51" i="8"/>
  <c r="AL51" i="8"/>
  <c r="AF51" i="8"/>
  <c r="AK51" i="8"/>
  <c r="AE51" i="8"/>
  <c r="AJ51" i="8"/>
  <c r="AI51" i="8"/>
  <c r="AN59" i="8"/>
  <c r="AM59" i="8"/>
  <c r="AF59" i="8"/>
  <c r="AE59" i="8"/>
  <c r="AI59" i="8"/>
  <c r="AJ59" i="8"/>
  <c r="AL59" i="8"/>
  <c r="AK59" i="8"/>
  <c r="AN53" i="8"/>
  <c r="AM53" i="8"/>
  <c r="AL53" i="8"/>
  <c r="AK53" i="8"/>
  <c r="AJ53" i="8"/>
  <c r="AI53" i="8"/>
  <c r="AE53" i="8"/>
  <c r="AF53" i="8"/>
  <c r="AN10" i="8"/>
  <c r="AM10" i="8"/>
  <c r="AF10" i="8"/>
  <c r="AL10" i="8"/>
  <c r="AK10" i="8"/>
  <c r="AJ10" i="8"/>
  <c r="AI10" i="8"/>
  <c r="AE10" i="8"/>
  <c r="AF82" i="8"/>
  <c r="AE82" i="8"/>
  <c r="AF70" i="8"/>
  <c r="AE70" i="8"/>
  <c r="AF86" i="8"/>
  <c r="AE86" i="8"/>
  <c r="AN15" i="8"/>
  <c r="AM15" i="8"/>
  <c r="AL15" i="8"/>
  <c r="AF15" i="8"/>
  <c r="AK15" i="8"/>
  <c r="AE15" i="8"/>
  <c r="AJ15" i="8"/>
  <c r="AI15" i="8"/>
</calcChain>
</file>

<file path=xl/sharedStrings.xml><?xml version="1.0" encoding="utf-8"?>
<sst xmlns="http://schemas.openxmlformats.org/spreadsheetml/2006/main" count="841" uniqueCount="285">
  <si>
    <t>Sección transversal efectiva (σ) en barns</t>
  </si>
  <si>
    <t>Vida Media (dias)</t>
  </si>
  <si>
    <t>Sec</t>
  </si>
  <si>
    <t>Constante de desintegración (λ)</t>
  </si>
  <si>
    <t>Nº atomos</t>
  </si>
  <si>
    <t>Actividad (bq)</t>
  </si>
  <si>
    <t>Termino fuente mecanicista (S) (bq)</t>
  </si>
  <si>
    <t>C-12</t>
  </si>
  <si>
    <t>Sr-89</t>
  </si>
  <si>
    <t>Gd-157</t>
  </si>
  <si>
    <t>U-238</t>
  </si>
  <si>
    <t>Nucleo</t>
  </si>
  <si>
    <t>Radio (cm)</t>
  </si>
  <si>
    <t>Altura (cm)</t>
  </si>
  <si>
    <t>Vida Media (años)</t>
  </si>
  <si>
    <t>Estable</t>
  </si>
  <si>
    <t>O-16</t>
  </si>
  <si>
    <t>Kr-83</t>
  </si>
  <si>
    <t>Kr-84</t>
  </si>
  <si>
    <t>Kr-86</t>
  </si>
  <si>
    <t>Rb-85</t>
  </si>
  <si>
    <t>Rb-87</t>
  </si>
  <si>
    <t>1.6 × 10⁹ años</t>
  </si>
  <si>
    <t>Sr-88</t>
  </si>
  <si>
    <t>Sr-90</t>
  </si>
  <si>
    <t>28.8 años</t>
  </si>
  <si>
    <t>Y-89</t>
  </si>
  <si>
    <t>Y-91</t>
  </si>
  <si>
    <t>58.5 días</t>
  </si>
  <si>
    <t>Zr-91</t>
  </si>
  <si>
    <t>Zr-92</t>
  </si>
  <si>
    <t>Zr-93</t>
  </si>
  <si>
    <t>1.53 × 10⁶ años</t>
  </si>
  <si>
    <t>Zr-94</t>
  </si>
  <si>
    <t>Zr-95</t>
  </si>
  <si>
    <t>64.02 días</t>
  </si>
  <si>
    <t>Zr-96</t>
  </si>
  <si>
    <t>Nb-95</t>
  </si>
  <si>
    <t>35 días</t>
  </si>
  <si>
    <t>Mo-95</t>
  </si>
  <si>
    <t>Mo-97</t>
  </si>
  <si>
    <t>Mo-98</t>
  </si>
  <si>
    <t>Mo-100</t>
  </si>
  <si>
    <t>Tc-99</t>
  </si>
  <si>
    <t>2.13 × 10⁵ años</t>
  </si>
  <si>
    <t>Ru-100</t>
  </si>
  <si>
    <t>Ru-101</t>
  </si>
  <si>
    <t>Ru-102</t>
  </si>
  <si>
    <t>Ru-103</t>
  </si>
  <si>
    <t>39.26 días</t>
  </si>
  <si>
    <t>Ru-104</t>
  </si>
  <si>
    <t>Ru-106</t>
  </si>
  <si>
    <t>373.6 días</t>
  </si>
  <si>
    <t>Rh-103</t>
  </si>
  <si>
    <t>Rh-105</t>
  </si>
  <si>
    <t>35.36 horas</t>
  </si>
  <si>
    <t>Pd-105</t>
  </si>
  <si>
    <t>Pd-106</t>
  </si>
  <si>
    <t>Pd-107</t>
  </si>
  <si>
    <t>6.5 × 10⁶ años</t>
  </si>
  <si>
    <t>Pd-108</t>
  </si>
  <si>
    <t>Ag-109</t>
  </si>
  <si>
    <t>Te-130</t>
  </si>
  <si>
    <t>1.57 × 10⁷ años</t>
  </si>
  <si>
    <t>I-129</t>
  </si>
  <si>
    <t>Xe-131</t>
  </si>
  <si>
    <t>Xe-132</t>
  </si>
  <si>
    <t>5.25 días</t>
  </si>
  <si>
    <t>Xe-133</t>
  </si>
  <si>
    <t>Xe-134</t>
  </si>
  <si>
    <t>9.14 horas</t>
  </si>
  <si>
    <t>Xe-135</t>
  </si>
  <si>
    <t>Xe-136</t>
  </si>
  <si>
    <t>Cs-133</t>
  </si>
  <si>
    <t>2.06 años</t>
  </si>
  <si>
    <t>Cs-134</t>
  </si>
  <si>
    <t>2.3 × 10⁶ años</t>
  </si>
  <si>
    <t>Cs-135</t>
  </si>
  <si>
    <t>30.17 años</t>
  </si>
  <si>
    <t>Cs-137</t>
  </si>
  <si>
    <t>Ba-138</t>
  </si>
  <si>
    <t>12.75 días</t>
  </si>
  <si>
    <t>Ba-140</t>
  </si>
  <si>
    <t>La-139</t>
  </si>
  <si>
    <t xml:space="preserve">Isotopo
</t>
  </si>
  <si>
    <t>50.57 días</t>
  </si>
  <si>
    <t>Vida Media (horas)</t>
  </si>
  <si>
    <t>Sm-140</t>
  </si>
  <si>
    <t>1.1 (minutos)</t>
  </si>
  <si>
    <t>Sm-141</t>
  </si>
  <si>
    <t>9.9 (minutos)</t>
  </si>
  <si>
    <t>Sm-142</t>
  </si>
  <si>
    <t>1.0 (minutos)</t>
  </si>
  <si>
    <t>Sm-144</t>
  </si>
  <si>
    <t>1.5 (horas)</t>
  </si>
  <si>
    <t>Pm-141</t>
  </si>
  <si>
    <t>2.6 (minutos)</t>
  </si>
  <si>
    <t>Pm-143</t>
  </si>
  <si>
    <t>Nd-143</t>
  </si>
  <si>
    <t>3.7 (minutos)</t>
  </si>
  <si>
    <t>Nd-144</t>
  </si>
  <si>
    <t>2.3 (minutos)</t>
  </si>
  <si>
    <t>Nd-145</t>
  </si>
  <si>
    <t>3.5 (horas)</t>
  </si>
  <si>
    <t>Nd-146</t>
  </si>
  <si>
    <t>13.5 (días)</t>
  </si>
  <si>
    <t>Nd-147</t>
  </si>
  <si>
    <t>1.8 (horas)</t>
  </si>
  <si>
    <t>Nd-148</t>
  </si>
  <si>
    <t>Nd-150</t>
  </si>
  <si>
    <t>7.0E18 (años)</t>
  </si>
  <si>
    <t>Eu-147</t>
  </si>
  <si>
    <t>1.6 (horas)</t>
  </si>
  <si>
    <t>Eu-149</t>
  </si>
  <si>
    <t>2.0 (minutos)</t>
  </si>
  <si>
    <t>Gd-147</t>
  </si>
  <si>
    <t>38.0 (horas)</t>
  </si>
  <si>
    <t>Gd-149</t>
  </si>
  <si>
    <t>1.7 (horas)</t>
  </si>
  <si>
    <t>Gd-150</t>
  </si>
  <si>
    <t>18.5 (horas)</t>
  </si>
  <si>
    <t>Gd-151</t>
  </si>
  <si>
    <t>Gd-152</t>
  </si>
  <si>
    <t>4.8 (horas)</t>
  </si>
  <si>
    <t>Dy-153</t>
  </si>
  <si>
    <t>2.1 (minutos)</t>
  </si>
  <si>
    <t>Dy-154</t>
  </si>
  <si>
    <t>1.8 (minutos)</t>
  </si>
  <si>
    <t>Dy-155</t>
  </si>
  <si>
    <t>U-235</t>
  </si>
  <si>
    <t>703.8E6 (años)</t>
  </si>
  <si>
    <t>U-236</t>
  </si>
  <si>
    <t>23.4E6 (años)</t>
  </si>
  <si>
    <t>U-237</t>
  </si>
  <si>
    <t>98.0 (minutos)</t>
  </si>
  <si>
    <t>4.468E9 (años)</t>
  </si>
  <si>
    <t>Np-237</t>
  </si>
  <si>
    <t>2.3 (días)</t>
  </si>
  <si>
    <t>Np-239</t>
  </si>
  <si>
    <t>24.1 (minutos)</t>
  </si>
  <si>
    <t>Pu-238</t>
  </si>
  <si>
    <t>87.7 (años)</t>
  </si>
  <si>
    <t>Pu-239</t>
  </si>
  <si>
    <t>24,100 (años)</t>
  </si>
  <si>
    <t>Pu-240</t>
  </si>
  <si>
    <t>6,560 (años)</t>
  </si>
  <si>
    <t>Pu-241</t>
  </si>
  <si>
    <t>14.3 (años)</t>
  </si>
  <si>
    <t>Pu-242</t>
  </si>
  <si>
    <t>375,000 (años)</t>
  </si>
  <si>
    <t>Am-241</t>
  </si>
  <si>
    <t>14.4 (años)</t>
  </si>
  <si>
    <t>Am-243</t>
  </si>
  <si>
    <t>5.0 (horas)</t>
  </si>
  <si>
    <t>Vida Media (minutos)</t>
  </si>
  <si>
    <t>30.018 años</t>
  </si>
  <si>
    <t>10.76 años</t>
  </si>
  <si>
    <t>4.88 × 10^10 años</t>
  </si>
  <si>
    <t>2.9 horas</t>
  </si>
  <si>
    <t>50.5 días</t>
  </si>
  <si>
    <t>58.51 días</t>
  </si>
  <si>
    <t>1.53 × 10^6 años</t>
  </si>
  <si>
    <t>34.991 días</t>
  </si>
  <si>
    <t>2.11 × 10^5 años</t>
  </si>
  <si>
    <t>373.59 días</t>
  </si>
  <si>
    <t>6.5 × 10^6 años</t>
  </si>
  <si>
    <t>1.57 × 10^7 años</t>
  </si>
  <si>
    <t>5.243 días</t>
  </si>
  <si>
    <t>2.065 años</t>
  </si>
  <si>
    <t>2.3 × 10^6 años</t>
  </si>
  <si>
    <t>12.752 días</t>
  </si>
  <si>
    <t>15.18 minutos</t>
  </si>
  <si>
    <t>10.6 minutos</t>
  </si>
  <si>
    <t>364 días</t>
  </si>
  <si>
    <t>20 minutos</t>
  </si>
  <si>
    <t>265 días</t>
  </si>
  <si>
    <t>2.29 años</t>
  </si>
  <si>
    <t>10.98 días</t>
  </si>
  <si>
    <t>24.1 días</t>
  </si>
  <si>
    <t>93.1 días</t>
  </si>
  <si>
    <t>38.06 horas</t>
  </si>
  <si>
    <t>9.28 días</t>
  </si>
  <si>
    <t>124 días</t>
  </si>
  <si>
    <t>6.4 horas</t>
  </si>
  <si>
    <t>3.0 × 10^6 años</t>
  </si>
  <si>
    <t>9.9 horas</t>
  </si>
  <si>
    <t>7.04 × 10^8 años</t>
  </si>
  <si>
    <t>2.342 × 10^7 años</t>
  </si>
  <si>
    <t>6.75 días</t>
  </si>
  <si>
    <t>4.468 × 10^9 años</t>
  </si>
  <si>
    <t>2.144 × 10^6 años</t>
  </si>
  <si>
    <t>2.356 días</t>
  </si>
  <si>
    <t>87.7 años</t>
  </si>
  <si>
    <t>2.41 × 10^4 años</t>
  </si>
  <si>
    <t>6.56 × 10^3 años</t>
  </si>
  <si>
    <t>14.325 años</t>
  </si>
  <si>
    <t>3.75 × 10^5 años</t>
  </si>
  <si>
    <t>432.2 años</t>
  </si>
  <si>
    <t>7.37 × 10^3 años</t>
  </si>
  <si>
    <t>Vida Media (copilot)</t>
  </si>
  <si>
    <t>Vida Media (chatGPT)</t>
  </si>
  <si>
    <t>Vida Media (Laraweb)</t>
  </si>
  <si>
    <t>50.57  d</t>
  </si>
  <si>
    <t>49.650 E9 a</t>
  </si>
  <si>
    <t>28.80 a </t>
  </si>
  <si>
    <t>58.51 d</t>
  </si>
  <si>
    <t>1.61 E6 a</t>
  </si>
  <si>
    <t>64.032 d</t>
  </si>
  <si>
    <t> 34.991 d</t>
  </si>
  <si>
    <t>211.5 E3 a</t>
  </si>
  <si>
    <t>39.255 d</t>
  </si>
  <si>
    <t xml:space="preserve">371.5 d </t>
  </si>
  <si>
    <t>16.1 E6 a</t>
  </si>
  <si>
    <t>5.2441 d</t>
  </si>
  <si>
    <t>9.14 h</t>
  </si>
  <si>
    <t>2.0644 a</t>
  </si>
  <si>
    <t>2.3 E6 a</t>
  </si>
  <si>
    <t>30.018 a</t>
  </si>
  <si>
    <t>12.753 d</t>
  </si>
  <si>
    <t xml:space="preserve">10.987 d </t>
  </si>
  <si>
    <t>38.06 h*</t>
  </si>
  <si>
    <t>23.43 E6 a</t>
  </si>
  <si>
    <t>704 E6 a</t>
  </si>
  <si>
    <t>6.749 d</t>
  </si>
  <si>
    <t>4.468 E9 a</t>
  </si>
  <si>
    <t>2.144 E6 a</t>
  </si>
  <si>
    <t>2.356 d</t>
  </si>
  <si>
    <t>87.74 a</t>
  </si>
  <si>
    <t>24.100 E3 a</t>
  </si>
  <si>
    <t>6.561 E3 a</t>
  </si>
  <si>
    <t>14.33 a</t>
  </si>
  <si>
    <t>373 E3</t>
  </si>
  <si>
    <t>432.6 </t>
  </si>
  <si>
    <t>7.367 E3 a</t>
  </si>
  <si>
    <t>Tipos de productos de fision</t>
  </si>
  <si>
    <t>Gases nobles</t>
  </si>
  <si>
    <t>I, Br, Se, Te</t>
  </si>
  <si>
    <t>Cs, Rb</t>
  </si>
  <si>
    <t>Sr, Ba, Eu</t>
  </si>
  <si>
    <t>Ag, Pd</t>
  </si>
  <si>
    <t>Sb</t>
  </si>
  <si>
    <t>Mo, Ru, Rh, Tc</t>
  </si>
  <si>
    <t>Pu, Actinidos</t>
  </si>
  <si>
    <t>Isótopos de elementos de transición</t>
  </si>
  <si>
    <t>Isot elem trans</t>
  </si>
  <si>
    <t>Isot tierras raras</t>
  </si>
  <si>
    <t>Tipo de isotopo</t>
  </si>
  <si>
    <r>
      <rPr>
        <b/>
        <sz val="11"/>
        <color theme="1"/>
        <rFont val="Arial"/>
        <family val="2"/>
      </rPr>
      <t>Number Density
[atom/b/cm]</t>
    </r>
  </si>
  <si>
    <t>Tipo de isotopos</t>
  </si>
  <si>
    <r>
      <rPr>
        <b/>
        <sz val="11"/>
        <color theme="1"/>
        <rFont val="Arial"/>
        <family val="2"/>
      </rPr>
      <t>Isotope
[ZZAAA]</t>
    </r>
  </si>
  <si>
    <r>
      <t>Barn (cm</t>
    </r>
    <r>
      <rPr>
        <b/>
        <vertAlign val="super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) a cm</t>
    </r>
  </si>
  <si>
    <r>
      <t>Volumen (cm</t>
    </r>
    <r>
      <rPr>
        <b/>
        <vertAlign val="super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)</t>
    </r>
  </si>
  <si>
    <r>
      <t>Densidad atomica (atom/cm</t>
    </r>
    <r>
      <rPr>
        <b/>
        <vertAlign val="superscript"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)</t>
    </r>
  </si>
  <si>
    <t>Heavy Metal Contamination</t>
  </si>
  <si>
    <t>Fuel Particle Kernel</t>
  </si>
  <si>
    <t>Diffusive Release through Fuel Particle Coatings</t>
  </si>
  <si>
    <t>Graphite (Compact Matrix and Fuel Element)</t>
  </si>
  <si>
    <t>FLIBE</t>
  </si>
  <si>
    <r>
      <t>AF</t>
    </r>
    <r>
      <rPr>
        <vertAlign val="subscript"/>
        <sz val="11"/>
        <color theme="1"/>
        <rFont val="Calibri"/>
        <family val="2"/>
      </rPr>
      <t>HMC</t>
    </r>
    <r>
      <rPr>
        <sz val="11"/>
        <color theme="1"/>
        <rFont val="Calibri"/>
      </rPr>
      <t xml:space="preserve"> 50%</t>
    </r>
  </si>
  <si>
    <r>
      <t>AF</t>
    </r>
    <r>
      <rPr>
        <vertAlign val="subscript"/>
        <sz val="11"/>
        <color theme="1"/>
        <rFont val="Calibri"/>
        <family val="2"/>
      </rPr>
      <t>HMC</t>
    </r>
    <r>
      <rPr>
        <sz val="11"/>
        <color theme="1"/>
        <rFont val="Calibri"/>
      </rPr>
      <t xml:space="preserve"> 95%</t>
    </r>
  </si>
  <si>
    <r>
      <t>AF</t>
    </r>
    <r>
      <rPr>
        <vertAlign val="subscript"/>
        <sz val="11"/>
        <color theme="1"/>
        <rFont val="Calibri"/>
        <family val="2"/>
      </rPr>
      <t>K</t>
    </r>
    <r>
      <rPr>
        <sz val="11"/>
        <color theme="1"/>
        <rFont val="Calibri"/>
      </rPr>
      <t xml:space="preserve"> 50%</t>
    </r>
  </si>
  <si>
    <r>
      <t>AF</t>
    </r>
    <r>
      <rPr>
        <vertAlign val="subscript"/>
        <sz val="11"/>
        <color theme="1"/>
        <rFont val="Calibri"/>
        <family val="2"/>
      </rPr>
      <t>K</t>
    </r>
    <r>
      <rPr>
        <sz val="11"/>
        <color theme="1"/>
        <rFont val="Calibri"/>
      </rPr>
      <t xml:space="preserve"> 95%</t>
    </r>
  </si>
  <si>
    <r>
      <t>AF</t>
    </r>
    <r>
      <rPr>
        <vertAlign val="subscript"/>
        <sz val="11"/>
        <color theme="1"/>
        <rFont val="Calibri"/>
        <family val="2"/>
      </rPr>
      <t>Diff</t>
    </r>
    <r>
      <rPr>
        <sz val="11"/>
        <color theme="1"/>
        <rFont val="Calibri"/>
      </rPr>
      <t xml:space="preserve"> 50%</t>
    </r>
  </si>
  <si>
    <r>
      <t>AF</t>
    </r>
    <r>
      <rPr>
        <vertAlign val="subscript"/>
        <sz val="11"/>
        <color theme="1"/>
        <rFont val="Calibri"/>
        <family val="2"/>
      </rPr>
      <t>Diff</t>
    </r>
    <r>
      <rPr>
        <sz val="11"/>
        <color theme="1"/>
        <rFont val="Calibri"/>
      </rPr>
      <t xml:space="preserve"> 95%</t>
    </r>
  </si>
  <si>
    <r>
      <t>AF</t>
    </r>
    <r>
      <rPr>
        <vertAlign val="subscript"/>
        <sz val="11"/>
        <color theme="1"/>
        <rFont val="Calibri"/>
        <family val="2"/>
      </rPr>
      <t>G</t>
    </r>
    <r>
      <rPr>
        <sz val="11"/>
        <color theme="1"/>
        <rFont val="Calibri"/>
      </rPr>
      <t xml:space="preserve"> 50%</t>
    </r>
  </si>
  <si>
    <r>
      <t>AF</t>
    </r>
    <r>
      <rPr>
        <vertAlign val="subscript"/>
        <sz val="11"/>
        <color theme="1"/>
        <rFont val="Calibri"/>
        <family val="2"/>
      </rPr>
      <t>G</t>
    </r>
    <r>
      <rPr>
        <sz val="11"/>
        <color theme="1"/>
        <rFont val="Calibri"/>
      </rPr>
      <t xml:space="preserve"> 95%</t>
    </r>
  </si>
  <si>
    <r>
      <t>AF</t>
    </r>
    <r>
      <rPr>
        <vertAlign val="subscript"/>
        <sz val="11"/>
        <color theme="1"/>
        <rFont val="Calibri"/>
        <family val="2"/>
      </rPr>
      <t>FLIBE</t>
    </r>
    <r>
      <rPr>
        <sz val="11"/>
        <color theme="1"/>
        <rFont val="Calibri"/>
      </rPr>
      <t xml:space="preserve"> 50%</t>
    </r>
  </si>
  <si>
    <r>
      <t>AF</t>
    </r>
    <r>
      <rPr>
        <vertAlign val="subscript"/>
        <sz val="11"/>
        <color theme="1"/>
        <rFont val="Calibri"/>
        <family val="2"/>
      </rPr>
      <t>FLIBE</t>
    </r>
    <r>
      <rPr>
        <sz val="11"/>
        <color theme="1"/>
        <rFont val="Calibri"/>
      </rPr>
      <t xml:space="preserve"> 95%</t>
    </r>
  </si>
  <si>
    <r>
      <t>AF</t>
    </r>
    <r>
      <rPr>
        <sz val="11"/>
        <color theme="1"/>
        <rFont val="Calibri"/>
      </rPr>
      <t xml:space="preserve"> 50%</t>
    </r>
  </si>
  <si>
    <r>
      <t>AF</t>
    </r>
    <r>
      <rPr>
        <sz val="11"/>
        <color theme="1"/>
        <rFont val="Calibri"/>
      </rPr>
      <t xml:space="preserve"> 95%</t>
    </r>
  </si>
  <si>
    <t>HMC</t>
  </si>
  <si>
    <t>Diff</t>
  </si>
  <si>
    <t>Graphite</t>
  </si>
  <si>
    <t>Kernel</t>
  </si>
  <si>
    <t>Core Activity</t>
  </si>
  <si>
    <t>AF 50%</t>
  </si>
  <si>
    <t>AF 95%</t>
  </si>
  <si>
    <t>Incremental Failure - Accident</t>
  </si>
  <si>
    <r>
      <t>AF</t>
    </r>
    <r>
      <rPr>
        <vertAlign val="subscript"/>
        <sz val="11"/>
        <color theme="1"/>
        <rFont val="Calibri"/>
        <family val="2"/>
      </rPr>
      <t>RB</t>
    </r>
    <r>
      <rPr>
        <sz val="11"/>
        <color theme="1"/>
        <rFont val="Calibri"/>
      </rPr>
      <t xml:space="preserve"> 50%</t>
    </r>
  </si>
  <si>
    <r>
      <t>AF</t>
    </r>
    <r>
      <rPr>
        <vertAlign val="subscript"/>
        <sz val="11"/>
        <color theme="1"/>
        <rFont val="Calibri"/>
        <family val="2"/>
      </rPr>
      <t>RB</t>
    </r>
    <r>
      <rPr>
        <sz val="11"/>
        <color theme="1"/>
        <rFont val="Calibri"/>
      </rPr>
      <t xml:space="preserve"> 95%</t>
    </r>
  </si>
  <si>
    <t>Reactor Building</t>
  </si>
  <si>
    <t>Diffusive Release through Fuel Particle Coatings [Intact Accident Release]</t>
  </si>
  <si>
    <t>Fuel Particle Kernel [Non-Intact Accident Release]</t>
  </si>
  <si>
    <t>Heavy Metal Accident Release</t>
  </si>
  <si>
    <t>Actividad (Ci)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</si>
</sst>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E+0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b/>
      <sz val="11"/>
      <color theme="1"/>
      <name val="Calibri"/>
      <family val="2"/>
      <scheme val="major"/>
    </font>
  </fonts>
  <fills count="17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theme="6"/>
        <bgColor theme="6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548DD4"/>
      </patternFill>
    </fill>
    <fill>
      <patternFill patternType="solid">
        <fgColor theme="6" tint="0.59999389629810485"/>
        <bgColor rgb="FFD6E3BC"/>
      </patternFill>
    </fill>
    <fill>
      <patternFill patternType="solid">
        <fgColor theme="6" tint="0.79998168889431442"/>
        <bgColor rgb="FFD6E3BC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548DD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D6E3BC"/>
      </patternFill>
    </fill>
    <fill>
      <patternFill patternType="solid">
        <fgColor theme="9" tint="0.59999389629810485"/>
        <bgColor rgb="FFD6E3BC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 applyFont="1" applyAlignment="1"/>
    <xf numFmtId="0" fontId="4" fillId="0" borderId="0" xfId="0" applyFont="1" applyAlignment="1">
      <alignment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vertical="center"/>
    </xf>
    <xf numFmtId="0" fontId="7" fillId="2" borderId="4" xfId="0" applyFont="1" applyFill="1" applyBorder="1" applyAlignment="1">
      <alignment horizontal="left" vertical="top" wrapText="1"/>
    </xf>
    <xf numFmtId="0" fontId="0" fillId="0" borderId="2" xfId="0" applyFont="1" applyBorder="1" applyAlignment="1"/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8" fillId="0" borderId="1" xfId="0" applyFont="1" applyBorder="1"/>
    <xf numFmtId="0" fontId="8" fillId="4" borderId="1" xfId="0" applyFont="1" applyFill="1" applyBorder="1"/>
    <xf numFmtId="164" fontId="8" fillId="0" borderId="1" xfId="0" applyNumberFormat="1" applyFont="1" applyBorder="1"/>
    <xf numFmtId="0" fontId="8" fillId="4" borderId="1" xfId="0" applyFont="1" applyFill="1" applyBorder="1" applyAlignment="1"/>
    <xf numFmtId="165" fontId="8" fillId="0" borderId="1" xfId="0" applyNumberFormat="1" applyFont="1" applyBorder="1"/>
    <xf numFmtId="11" fontId="8" fillId="0" borderId="6" xfId="0" applyNumberFormat="1" applyFont="1" applyBorder="1" applyAlignment="1">
      <alignment vertical="center"/>
    </xf>
    <xf numFmtId="0" fontId="9" fillId="0" borderId="3" xfId="0" applyNumberFormat="1" applyFont="1" applyBorder="1" applyAlignment="1">
      <alignment horizontal="left" vertical="top" shrinkToFit="1"/>
    </xf>
    <xf numFmtId="0" fontId="8" fillId="0" borderId="3" xfId="0" applyNumberFormat="1" applyFont="1" applyBorder="1"/>
    <xf numFmtId="0" fontId="8" fillId="0" borderId="3" xfId="0" applyNumberFormat="1" applyFont="1" applyBorder="1" applyAlignment="1">
      <alignment horizontal="left"/>
    </xf>
    <xf numFmtId="0" fontId="9" fillId="0" borderId="1" xfId="0" applyNumberFormat="1" applyFont="1" applyBorder="1" applyAlignment="1">
      <alignment horizontal="left" vertical="top" shrinkToFit="1"/>
    </xf>
    <xf numFmtId="0" fontId="8" fillId="0" borderId="1" xfId="0" applyNumberFormat="1" applyFont="1" applyBorder="1"/>
    <xf numFmtId="0" fontId="8" fillId="0" borderId="1" xfId="0" applyNumberFormat="1" applyFont="1" applyBorder="1" applyAlignment="1">
      <alignment horizontal="left"/>
    </xf>
    <xf numFmtId="11" fontId="8" fillId="0" borderId="6" xfId="0" applyNumberFormat="1" applyFont="1" applyBorder="1" applyAlignment="1">
      <alignment wrapText="1"/>
    </xf>
    <xf numFmtId="11" fontId="9" fillId="0" borderId="6" xfId="0" applyNumberFormat="1" applyFont="1" applyBorder="1" applyAlignment="1">
      <alignment horizontal="left" vertical="top" shrinkToFit="1"/>
    </xf>
    <xf numFmtId="0" fontId="8" fillId="5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2" fontId="8" fillId="6" borderId="2" xfId="0" applyNumberFormat="1" applyFont="1" applyFill="1" applyBorder="1" applyAlignment="1">
      <alignment horizontal="left" vertical="top" wrapText="1"/>
    </xf>
    <xf numFmtId="11" fontId="8" fillId="6" borderId="2" xfId="0" applyNumberFormat="1" applyFont="1" applyFill="1" applyBorder="1" applyAlignment="1">
      <alignment horizontal="left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right" wrapText="1"/>
    </xf>
    <xf numFmtId="0" fontId="0" fillId="0" borderId="0" xfId="0" applyFont="1" applyBorder="1" applyAlignment="1"/>
    <xf numFmtId="0" fontId="8" fillId="6" borderId="1" xfId="0" applyFont="1" applyFill="1" applyBorder="1"/>
    <xf numFmtId="11" fontId="8" fillId="0" borderId="7" xfId="0" applyNumberFormat="1" applyFont="1" applyBorder="1" applyAlignment="1">
      <alignment wrapText="1"/>
    </xf>
    <xf numFmtId="0" fontId="9" fillId="0" borderId="8" xfId="0" applyNumberFormat="1" applyFont="1" applyBorder="1" applyAlignment="1">
      <alignment horizontal="left" vertical="top" shrinkToFit="1"/>
    </xf>
    <xf numFmtId="0" fontId="9" fillId="0" borderId="4" xfId="0" applyNumberFormat="1" applyFont="1" applyBorder="1" applyAlignment="1">
      <alignment horizontal="left" vertical="top" shrinkToFit="1"/>
    </xf>
    <xf numFmtId="0" fontId="9" fillId="0" borderId="10" xfId="0" applyNumberFormat="1" applyFont="1" applyBorder="1" applyAlignment="1">
      <alignment horizontal="left" vertical="top" shrinkToFit="1"/>
    </xf>
    <xf numFmtId="0" fontId="9" fillId="0" borderId="11" xfId="0" applyNumberFormat="1" applyFont="1" applyBorder="1" applyAlignment="1">
      <alignment horizontal="left" vertical="top" shrinkToFit="1"/>
    </xf>
    <xf numFmtId="0" fontId="10" fillId="2" borderId="5" xfId="0" applyFont="1" applyFill="1" applyBorder="1" applyAlignment="1">
      <alignment horizontal="left" vertical="top" wrapText="1"/>
    </xf>
    <xf numFmtId="11" fontId="9" fillId="0" borderId="9" xfId="0" applyNumberFormat="1" applyFont="1" applyBorder="1" applyAlignment="1">
      <alignment horizontal="left" vertical="top" shrinkToFit="1"/>
    </xf>
    <xf numFmtId="0" fontId="2" fillId="0" borderId="0" xfId="0" applyFont="1" applyAlignment="1"/>
    <xf numFmtId="0" fontId="10" fillId="2" borderId="1" xfId="0" applyFont="1" applyFill="1" applyBorder="1" applyAlignment="1">
      <alignment wrapText="1"/>
    </xf>
    <xf numFmtId="0" fontId="10" fillId="2" borderId="4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164" fontId="8" fillId="0" borderId="0" xfId="0" applyNumberFormat="1" applyFont="1" applyBorder="1"/>
    <xf numFmtId="164" fontId="8" fillId="0" borderId="11" xfId="0" applyNumberFormat="1" applyFont="1" applyBorder="1"/>
    <xf numFmtId="0" fontId="8" fillId="4" borderId="12" xfId="0" applyFont="1" applyFill="1" applyBorder="1" applyAlignment="1"/>
    <xf numFmtId="164" fontId="8" fillId="0" borderId="4" xfId="0" applyNumberFormat="1" applyFont="1" applyBorder="1"/>
    <xf numFmtId="164" fontId="8" fillId="0" borderId="13" xfId="0" applyNumberFormat="1" applyFont="1" applyBorder="1"/>
    <xf numFmtId="164" fontId="8" fillId="0" borderId="2" xfId="0" applyNumberFormat="1" applyFont="1" applyBorder="1"/>
    <xf numFmtId="164" fontId="8" fillId="5" borderId="2" xfId="0" applyNumberFormat="1" applyFont="1" applyFill="1" applyBorder="1"/>
    <xf numFmtId="0" fontId="10" fillId="2" borderId="12" xfId="0" applyFont="1" applyFill="1" applyBorder="1" applyAlignment="1">
      <alignment wrapText="1"/>
    </xf>
    <xf numFmtId="0" fontId="8" fillId="4" borderId="11" xfId="0" applyFont="1" applyFill="1" applyBorder="1"/>
    <xf numFmtId="0" fontId="8" fillId="4" borderId="11" xfId="0" applyFont="1" applyFill="1" applyBorder="1" applyAlignment="1"/>
    <xf numFmtId="0" fontId="6" fillId="3" borderId="2" xfId="0" applyFont="1" applyFill="1" applyBorder="1" applyAlignment="1">
      <alignment horizontal="center" vertical="center" wrapText="1"/>
    </xf>
    <xf numFmtId="0" fontId="8" fillId="4" borderId="3" xfId="0" applyFont="1" applyFill="1" applyBorder="1"/>
    <xf numFmtId="0" fontId="8" fillId="4" borderId="4" xfId="0" applyFont="1" applyFill="1" applyBorder="1"/>
    <xf numFmtId="0" fontId="8" fillId="4" borderId="13" xfId="0" applyFont="1" applyFill="1" applyBorder="1"/>
    <xf numFmtId="0" fontId="8" fillId="4" borderId="2" xfId="0" applyFont="1" applyFill="1" applyBorder="1"/>
    <xf numFmtId="164" fontId="13" fillId="7" borderId="1" xfId="0" applyNumberFormat="1" applyFont="1" applyFill="1" applyBorder="1"/>
    <xf numFmtId="164" fontId="13" fillId="7" borderId="12" xfId="0" applyNumberFormat="1" applyFont="1" applyFill="1" applyBorder="1"/>
    <xf numFmtId="0" fontId="10" fillId="8" borderId="4" xfId="0" applyFont="1" applyFill="1" applyBorder="1" applyAlignment="1">
      <alignment horizontal="left" vertical="top" wrapText="1"/>
    </xf>
    <xf numFmtId="164" fontId="0" fillId="0" borderId="2" xfId="0" applyNumberFormat="1" applyFont="1" applyBorder="1" applyAlignment="1"/>
    <xf numFmtId="0" fontId="8" fillId="9" borderId="1" xfId="0" applyFont="1" applyFill="1" applyBorder="1"/>
    <xf numFmtId="0" fontId="8" fillId="9" borderId="1" xfId="0" applyFont="1" applyFill="1" applyBorder="1" applyAlignment="1"/>
    <xf numFmtId="0" fontId="8" fillId="10" borderId="1" xfId="0" applyFont="1" applyFill="1" applyBorder="1"/>
    <xf numFmtId="0" fontId="8" fillId="10" borderId="1" xfId="0" applyFont="1" applyFill="1" applyBorder="1" applyAlignment="1"/>
    <xf numFmtId="0" fontId="4" fillId="0" borderId="1" xfId="0" applyFont="1" applyFill="1" applyBorder="1"/>
    <xf numFmtId="0" fontId="0" fillId="0" borderId="0" xfId="0" applyFont="1" applyFill="1" applyAlignment="1"/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9" fontId="6" fillId="12" borderId="2" xfId="0" applyNumberFormat="1" applyFont="1" applyFill="1" applyBorder="1" applyAlignment="1">
      <alignment horizontal="center" vertical="center" wrapText="1"/>
    </xf>
    <xf numFmtId="164" fontId="8" fillId="0" borderId="12" xfId="0" applyNumberFormat="1" applyFont="1" applyBorder="1"/>
    <xf numFmtId="164" fontId="8" fillId="0" borderId="5" xfId="0" applyNumberFormat="1" applyFont="1" applyBorder="1"/>
    <xf numFmtId="0" fontId="6" fillId="3" borderId="29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/>
    <xf numFmtId="0" fontId="8" fillId="4" borderId="13" xfId="0" applyFont="1" applyFill="1" applyBorder="1" applyAlignment="1"/>
    <xf numFmtId="0" fontId="8" fillId="9" borderId="2" xfId="0" applyFont="1" applyFill="1" applyBorder="1"/>
    <xf numFmtId="0" fontId="8" fillId="9" borderId="2" xfId="0" applyFont="1" applyFill="1" applyBorder="1" applyAlignment="1"/>
    <xf numFmtId="0" fontId="8" fillId="10" borderId="2" xfId="0" applyFont="1" applyFill="1" applyBorder="1"/>
    <xf numFmtId="0" fontId="8" fillId="10" borderId="2" xfId="0" applyFont="1" applyFill="1" applyBorder="1" applyAlignment="1"/>
    <xf numFmtId="0" fontId="8" fillId="4" borderId="2" xfId="0" applyFont="1" applyFill="1" applyBorder="1" applyAlignment="1"/>
    <xf numFmtId="164" fontId="0" fillId="0" borderId="0" xfId="0" applyNumberFormat="1" applyFont="1" applyBorder="1" applyAlignment="1"/>
    <xf numFmtId="0" fontId="8" fillId="0" borderId="15" xfId="0" applyFont="1" applyBorder="1" applyAlignment="1">
      <alignment horizontal="left" vertical="top" wrapText="1"/>
    </xf>
    <xf numFmtId="0" fontId="8" fillId="6" borderId="15" xfId="0" applyFont="1" applyFill="1" applyBorder="1" applyAlignment="1">
      <alignment horizontal="left" vertical="top" wrapText="1"/>
    </xf>
    <xf numFmtId="11" fontId="8" fillId="6" borderId="15" xfId="0" applyNumberFormat="1" applyFont="1" applyFill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/>
    </xf>
    <xf numFmtId="11" fontId="9" fillId="0" borderId="7" xfId="0" applyNumberFormat="1" applyFont="1" applyBorder="1" applyAlignment="1">
      <alignment horizontal="left" vertical="top" shrinkToFit="1"/>
    </xf>
    <xf numFmtId="165" fontId="8" fillId="0" borderId="4" xfId="0" applyNumberFormat="1" applyFont="1" applyBorder="1"/>
    <xf numFmtId="0" fontId="8" fillId="6" borderId="4" xfId="0" applyFont="1" applyFill="1" applyBorder="1"/>
    <xf numFmtId="164" fontId="13" fillId="7" borderId="4" xfId="0" applyNumberFormat="1" applyFont="1" applyFill="1" applyBorder="1"/>
    <xf numFmtId="164" fontId="8" fillId="5" borderId="15" xfId="0" applyNumberFormat="1" applyFont="1" applyFill="1" applyBorder="1"/>
    <xf numFmtId="0" fontId="8" fillId="0" borderId="26" xfId="0" applyFont="1" applyBorder="1" applyAlignment="1">
      <alignment horizontal="left" vertical="top" wrapText="1"/>
    </xf>
    <xf numFmtId="0" fontId="8" fillId="6" borderId="26" xfId="0" applyFont="1" applyFill="1" applyBorder="1" applyAlignment="1">
      <alignment horizontal="left" vertical="top" wrapText="1"/>
    </xf>
    <xf numFmtId="11" fontId="8" fillId="6" borderId="26" xfId="0" applyNumberFormat="1" applyFont="1" applyFill="1" applyBorder="1" applyAlignment="1">
      <alignment horizontal="left" vertical="top" wrapText="1"/>
    </xf>
    <xf numFmtId="0" fontId="8" fillId="5" borderId="26" xfId="0" applyFont="1" applyFill="1" applyBorder="1" applyAlignment="1">
      <alignment horizontal="left" vertical="top" wrapText="1"/>
    </xf>
    <xf numFmtId="165" fontId="8" fillId="0" borderId="11" xfId="0" applyNumberFormat="1" applyFont="1" applyBorder="1"/>
    <xf numFmtId="0" fontId="8" fillId="0" borderId="11" xfId="0" applyFont="1" applyBorder="1"/>
    <xf numFmtId="0" fontId="8" fillId="6" borderId="11" xfId="0" applyFont="1" applyFill="1" applyBorder="1"/>
    <xf numFmtId="11" fontId="8" fillId="0" borderId="2" xfId="0" applyNumberFormat="1" applyFont="1" applyBorder="1" applyAlignment="1">
      <alignment wrapText="1"/>
    </xf>
    <xf numFmtId="0" fontId="9" fillId="0" borderId="2" xfId="0" applyNumberFormat="1" applyFont="1" applyBorder="1" applyAlignment="1">
      <alignment horizontal="left" vertical="top" shrinkToFit="1"/>
    </xf>
    <xf numFmtId="165" fontId="8" fillId="0" borderId="2" xfId="0" applyNumberFormat="1" applyFont="1" applyBorder="1"/>
    <xf numFmtId="0" fontId="8" fillId="6" borderId="2" xfId="0" applyFont="1" applyFill="1" applyBorder="1"/>
    <xf numFmtId="164" fontId="13" fillId="7" borderId="2" xfId="0" applyNumberFormat="1" applyFont="1" applyFill="1" applyBorder="1"/>
    <xf numFmtId="164" fontId="8" fillId="13" borderId="2" xfId="0" applyNumberFormat="1" applyFont="1" applyFill="1" applyBorder="1"/>
    <xf numFmtId="164" fontId="8" fillId="14" borderId="2" xfId="0" applyNumberFormat="1" applyFont="1" applyFill="1" applyBorder="1"/>
    <xf numFmtId="164" fontId="8" fillId="13" borderId="15" xfId="0" applyNumberFormat="1" applyFont="1" applyFill="1" applyBorder="1"/>
    <xf numFmtId="0" fontId="6" fillId="3" borderId="28" xfId="0" applyFont="1" applyFill="1" applyBorder="1" applyAlignment="1">
      <alignment horizontal="center" vertical="center" wrapText="1"/>
    </xf>
    <xf numFmtId="164" fontId="13" fillId="7" borderId="0" xfId="0" applyNumberFormat="1" applyFont="1" applyFill="1" applyBorder="1"/>
    <xf numFmtId="0" fontId="8" fillId="15" borderId="1" xfId="0" applyFont="1" applyFill="1" applyBorder="1" applyAlignment="1"/>
    <xf numFmtId="0" fontId="8" fillId="16" borderId="1" xfId="0" applyFont="1" applyFill="1" applyBorder="1" applyAlignment="1"/>
    <xf numFmtId="0" fontId="8" fillId="16" borderId="2" xfId="0" applyFont="1" applyFill="1" applyBorder="1" applyAlignment="1"/>
    <xf numFmtId="0" fontId="8" fillId="15" borderId="2" xfId="0" applyFont="1" applyFill="1" applyBorder="1" applyAlignment="1"/>
    <xf numFmtId="0" fontId="1" fillId="11" borderId="31" xfId="0" applyFont="1" applyFill="1" applyBorder="1" applyAlignment="1">
      <alignment horizontal="center"/>
    </xf>
    <xf numFmtId="0" fontId="1" fillId="11" borderId="30" xfId="0" applyFont="1" applyFill="1" applyBorder="1" applyAlignment="1">
      <alignment horizontal="center"/>
    </xf>
    <xf numFmtId="0" fontId="1" fillId="11" borderId="27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vertical="top" wrapText="1"/>
    </xf>
    <xf numFmtId="0" fontId="6" fillId="3" borderId="25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vertical="center" wrapText="1"/>
    </xf>
    <xf numFmtId="0" fontId="1" fillId="11" borderId="19" xfId="0" applyFont="1" applyFill="1" applyBorder="1" applyAlignment="1">
      <alignment horizontal="center"/>
    </xf>
    <xf numFmtId="0" fontId="0" fillId="11" borderId="20" xfId="0" applyFont="1" applyFill="1" applyBorder="1" applyAlignment="1">
      <alignment horizontal="center"/>
    </xf>
    <xf numFmtId="0" fontId="0" fillId="11" borderId="2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microsoft.com/office/2017/10/relationships/person" Target="persons/person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ysClr val="windowText" lastClr="000000"/>
                </a:solidFill>
              </a:rPr>
              <a:t>Actividad por etapas AF 50%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(NO)'!$AI$4:$AN$4</c:f>
            </c:numRef>
          </c:val>
          <c:smooth val="0"/>
          <c:extLst>
            <c:ext xmlns:c16="http://schemas.microsoft.com/office/drawing/2014/chart" uri="{C3380CC4-5D6E-409C-BE32-E72D297353CC}">
              <c16:uniqueId val="{00000000-D010-4DCA-A947-180F21075113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(NO)'!$AI$5:$AN$5</c:f>
            </c:numRef>
          </c:val>
          <c:smooth val="0"/>
          <c:extLst>
            <c:ext xmlns:c16="http://schemas.microsoft.com/office/drawing/2014/chart" uri="{C3380CC4-5D6E-409C-BE32-E72D297353CC}">
              <c16:uniqueId val="{00000001-D010-4DCA-A947-180F21075113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(NO)'!$AI$6:$AN$6</c:f>
            </c:numRef>
          </c:val>
          <c:smooth val="0"/>
          <c:extLst>
            <c:ext xmlns:c16="http://schemas.microsoft.com/office/drawing/2014/chart" uri="{C3380CC4-5D6E-409C-BE32-E72D297353CC}">
              <c16:uniqueId val="{00000002-D010-4DCA-A947-180F21075113}"/>
            </c:ext>
          </c:extLst>
        </c:ser>
        <c:ser>
          <c:idx val="3"/>
          <c:order val="3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(NO)'!$AI$7:$AN$7</c:f>
            </c:numRef>
          </c:val>
          <c:smooth val="0"/>
          <c:extLst>
            <c:ext xmlns:c16="http://schemas.microsoft.com/office/drawing/2014/chart" uri="{C3380CC4-5D6E-409C-BE32-E72D297353CC}">
              <c16:uniqueId val="{00000003-D010-4DCA-A947-180F21075113}"/>
            </c:ext>
          </c:extLst>
        </c:ser>
        <c:ser>
          <c:idx val="4"/>
          <c:order val="4"/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(NO)'!$AI$8:$AN$8</c:f>
            </c:numRef>
          </c:val>
          <c:smooth val="0"/>
          <c:extLst>
            <c:ext xmlns:c16="http://schemas.microsoft.com/office/drawing/2014/chart" uri="{C3380CC4-5D6E-409C-BE32-E72D297353CC}">
              <c16:uniqueId val="{00000004-D010-4DCA-A947-180F21075113}"/>
            </c:ext>
          </c:extLst>
        </c:ser>
        <c:ser>
          <c:idx val="5"/>
          <c:order val="5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(NO)'!$AI$9:$AN$9</c:f>
            </c:numRef>
          </c:val>
          <c:smooth val="0"/>
          <c:extLst>
            <c:ext xmlns:c16="http://schemas.microsoft.com/office/drawing/2014/chart" uri="{C3380CC4-5D6E-409C-BE32-E72D297353CC}">
              <c16:uniqueId val="{00000005-D010-4DCA-A947-180F21075113}"/>
            </c:ext>
          </c:extLst>
        </c:ser>
        <c:ser>
          <c:idx val="6"/>
          <c:order val="6"/>
          <c:tx>
            <c:strRef>
              <c:f>'AZ6 RZ1 (ACCIDENT)'!$B$10</c:f>
              <c:strCache>
                <c:ptCount val="1"/>
                <c:pt idx="0">
                  <c:v>Pd-107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(ACCIDENT)'!$AO$10:$AU$10</c:f>
              <c:numCache>
                <c:formatCode>0.00000E+00</c:formatCode>
                <c:ptCount val="7"/>
                <c:pt idx="0">
                  <c:v>1058537081181.8613</c:v>
                </c:pt>
                <c:pt idx="1">
                  <c:v>1058537081181.8613</c:v>
                </c:pt>
                <c:pt idx="2">
                  <c:v>1058537081181.8613</c:v>
                </c:pt>
                <c:pt idx="3">
                  <c:v>2117074162.3637228</c:v>
                </c:pt>
                <c:pt idx="4">
                  <c:v>2117074162.3637228</c:v>
                </c:pt>
                <c:pt idx="5" formatCode="General">
                  <c:v>21170741.623637229</c:v>
                </c:pt>
                <c:pt idx="6">
                  <c:v>2117074.1623637229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10-4DCA-A947-180F21075113}"/>
            </c:ext>
          </c:extLst>
        </c:ser>
        <c:ser>
          <c:idx val="7"/>
          <c:order val="7"/>
          <c:tx>
            <c:strRef>
              <c:f>'AZ6 RZ1 (ACCIDENT)'!$B$12</c:f>
              <c:strCache>
                <c:ptCount val="1"/>
                <c:pt idx="0">
                  <c:v>Rb-87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(ACCIDENT)'!$AO$12:$AU$12</c:f>
              <c:numCache>
                <c:formatCode>0.00000E+00</c:formatCode>
                <c:ptCount val="7"/>
                <c:pt idx="0">
                  <c:v>10811074340.25753</c:v>
                </c:pt>
                <c:pt idx="1">
                  <c:v>10811074340.25753</c:v>
                </c:pt>
                <c:pt idx="2">
                  <c:v>10811074340.25753</c:v>
                </c:pt>
                <c:pt idx="3">
                  <c:v>1081.107434025753</c:v>
                </c:pt>
                <c:pt idx="4">
                  <c:v>108.11074340257531</c:v>
                </c:pt>
                <c:pt idx="5" formatCode="General">
                  <c:v>1.0811074340257532</c:v>
                </c:pt>
                <c:pt idx="6">
                  <c:v>0.10811074340257532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10-4DCA-A947-180F21075113}"/>
            </c:ext>
          </c:extLst>
        </c:ser>
        <c:ser>
          <c:idx val="8"/>
          <c:order val="8"/>
          <c:tx>
            <c:strRef>
              <c:f>'AZ6 RZ1 (ACCIDENT)'!$B$35</c:f>
              <c:strCache>
                <c:ptCount val="1"/>
                <c:pt idx="0">
                  <c:v>Rh-105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(ACCIDENT)'!$AO$35:$AU$35</c:f>
              <c:numCache>
                <c:formatCode>0.00000E+00</c:formatCode>
                <c:ptCount val="7"/>
                <c:pt idx="0">
                  <c:v>3.2803982573448241E+19</c:v>
                </c:pt>
                <c:pt idx="1">
                  <c:v>3.2803982573448241E+19</c:v>
                </c:pt>
                <c:pt idx="2">
                  <c:v>3.2803982573448243E+17</c:v>
                </c:pt>
                <c:pt idx="3">
                  <c:v>32803982573.448242</c:v>
                </c:pt>
                <c:pt idx="4">
                  <c:v>3280398257.3448243</c:v>
                </c:pt>
                <c:pt idx="5" formatCode="General">
                  <c:v>32803982.573448244</c:v>
                </c:pt>
                <c:pt idx="6">
                  <c:v>3280398.2573448247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10-4DCA-A947-180F21075113}"/>
            </c:ext>
          </c:extLst>
        </c:ser>
        <c:ser>
          <c:idx val="9"/>
          <c:order val="9"/>
          <c:tx>
            <c:strRef>
              <c:f>'AZ6 RZ1 (ACCIDENT)'!$B$64</c:f>
              <c:strCache>
                <c:ptCount val="1"/>
                <c:pt idx="0">
                  <c:v>Eu-147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(ACCIDENT)'!$AO$64:$AU$64</c:f>
              <c:numCache>
                <c:formatCode>0.00000E+00</c:formatCode>
                <c:ptCount val="7"/>
                <c:pt idx="0">
                  <c:v>4.2642555115526762E+22</c:v>
                </c:pt>
                <c:pt idx="1">
                  <c:v>4.2642555115526762E+22</c:v>
                </c:pt>
                <c:pt idx="2">
                  <c:v>4.2642555115526762E+22</c:v>
                </c:pt>
                <c:pt idx="3">
                  <c:v>4.264255511552676E+16</c:v>
                </c:pt>
                <c:pt idx="4">
                  <c:v>426425551155267.63</c:v>
                </c:pt>
                <c:pt idx="5" formatCode="General">
                  <c:v>4264255511552.6763</c:v>
                </c:pt>
                <c:pt idx="6">
                  <c:v>426425551155.26764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10-4DCA-A947-180F21075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772765824"/>
        <c:axId val="772761984"/>
      </c:lineChart>
      <c:catAx>
        <c:axId val="772765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Etapas de contencion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61984"/>
        <c:crossesAt val="1.0000000000000004E-5"/>
        <c:auto val="1"/>
        <c:lblAlgn val="ctr"/>
        <c:lblOffset val="100"/>
        <c:noMultiLvlLbl val="0"/>
      </c:catAx>
      <c:valAx>
        <c:axId val="772761984"/>
        <c:scaling>
          <c:logBase val="10"/>
          <c:orientation val="minMax"/>
          <c:min val="1.0000000000000002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Actividad (bq)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658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ysClr val="windowText" lastClr="000000"/>
                </a:solidFill>
              </a:rPr>
              <a:t>Actividad por etapas AF 95%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(NO)'!$AI$4:$AN$4</c:f>
            </c:numRef>
          </c:val>
          <c:smooth val="0"/>
          <c:extLst>
            <c:ext xmlns:c16="http://schemas.microsoft.com/office/drawing/2014/chart" uri="{C3380CC4-5D6E-409C-BE32-E72D297353CC}">
              <c16:uniqueId val="{00000000-F95C-4B0D-B641-97F78CCADE8B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(NO)'!$AI$5:$AN$5</c:f>
            </c:numRef>
          </c:val>
          <c:smooth val="0"/>
          <c:extLst>
            <c:ext xmlns:c16="http://schemas.microsoft.com/office/drawing/2014/chart" uri="{C3380CC4-5D6E-409C-BE32-E72D297353CC}">
              <c16:uniqueId val="{00000001-F95C-4B0D-B641-97F78CCADE8B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(NO)'!$AI$6:$AN$6</c:f>
            </c:numRef>
          </c:val>
          <c:smooth val="0"/>
          <c:extLst>
            <c:ext xmlns:c16="http://schemas.microsoft.com/office/drawing/2014/chart" uri="{C3380CC4-5D6E-409C-BE32-E72D297353CC}">
              <c16:uniqueId val="{00000002-F95C-4B0D-B641-97F78CCADE8B}"/>
            </c:ext>
          </c:extLst>
        </c:ser>
        <c:ser>
          <c:idx val="3"/>
          <c:order val="3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(NO)'!$AI$7:$AN$7</c:f>
            </c:numRef>
          </c:val>
          <c:smooth val="0"/>
          <c:extLst>
            <c:ext xmlns:c16="http://schemas.microsoft.com/office/drawing/2014/chart" uri="{C3380CC4-5D6E-409C-BE32-E72D297353CC}">
              <c16:uniqueId val="{00000003-F95C-4B0D-B641-97F78CCADE8B}"/>
            </c:ext>
          </c:extLst>
        </c:ser>
        <c:ser>
          <c:idx val="4"/>
          <c:order val="4"/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(NO)'!$AI$8:$AN$8</c:f>
            </c:numRef>
          </c:val>
          <c:smooth val="0"/>
          <c:extLst>
            <c:ext xmlns:c16="http://schemas.microsoft.com/office/drawing/2014/chart" uri="{C3380CC4-5D6E-409C-BE32-E72D297353CC}">
              <c16:uniqueId val="{00000004-F95C-4B0D-B641-97F78CCADE8B}"/>
            </c:ext>
          </c:extLst>
        </c:ser>
        <c:ser>
          <c:idx val="5"/>
          <c:order val="5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(NO)'!$AI$9:$AN$9</c:f>
            </c:numRef>
          </c:val>
          <c:smooth val="0"/>
          <c:extLst>
            <c:ext xmlns:c16="http://schemas.microsoft.com/office/drawing/2014/chart" uri="{C3380CC4-5D6E-409C-BE32-E72D297353CC}">
              <c16:uniqueId val="{00000005-F95C-4B0D-B641-97F78CCADE8B}"/>
            </c:ext>
          </c:extLst>
        </c:ser>
        <c:ser>
          <c:idx val="6"/>
          <c:order val="6"/>
          <c:tx>
            <c:strRef>
              <c:f>'AZ6 RZ1 (ACCIDENT)'!$B$10</c:f>
              <c:strCache>
                <c:ptCount val="1"/>
                <c:pt idx="0">
                  <c:v>Pd-107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(ACCIDENT)'!$AX$10:$BD$10</c:f>
              <c:numCache>
                <c:formatCode>0.00000E+00</c:formatCode>
                <c:ptCount val="7"/>
                <c:pt idx="0">
                  <c:v>1058537081181.8613</c:v>
                </c:pt>
                <c:pt idx="1">
                  <c:v>1058537081181.8613</c:v>
                </c:pt>
                <c:pt idx="2">
                  <c:v>1058537081181.8613</c:v>
                </c:pt>
                <c:pt idx="3">
                  <c:v>10585370811.818613</c:v>
                </c:pt>
                <c:pt idx="4">
                  <c:v>10585370811.818613</c:v>
                </c:pt>
                <c:pt idx="5">
                  <c:v>105853708.11818613</c:v>
                </c:pt>
                <c:pt idx="6">
                  <c:v>52926854.059093066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5C-4B0D-B641-97F78CCADE8B}"/>
            </c:ext>
          </c:extLst>
        </c:ser>
        <c:ser>
          <c:idx val="7"/>
          <c:order val="7"/>
          <c:tx>
            <c:strRef>
              <c:f>'AZ6 RZ1 (ACCIDENT)'!$B$12</c:f>
              <c:strCache>
                <c:ptCount val="1"/>
                <c:pt idx="0">
                  <c:v>Rb-87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(ACCIDENT)'!$AX$12:$BD$12</c:f>
              <c:numCache>
                <c:formatCode>0.00000E+00</c:formatCode>
                <c:ptCount val="7"/>
                <c:pt idx="0">
                  <c:v>10811074340.25753</c:v>
                </c:pt>
                <c:pt idx="1">
                  <c:v>10811074340.25753</c:v>
                </c:pt>
                <c:pt idx="2">
                  <c:v>10811074340.25753</c:v>
                </c:pt>
                <c:pt idx="3">
                  <c:v>5405.537170128765</c:v>
                </c:pt>
                <c:pt idx="4">
                  <c:v>1801.8457233762549</c:v>
                </c:pt>
                <c:pt idx="5">
                  <c:v>18.01845723376255</c:v>
                </c:pt>
                <c:pt idx="6">
                  <c:v>9.0092286168812752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5C-4B0D-B641-97F78CCADE8B}"/>
            </c:ext>
          </c:extLst>
        </c:ser>
        <c:ser>
          <c:idx val="8"/>
          <c:order val="8"/>
          <c:tx>
            <c:strRef>
              <c:f>'AZ6 RZ1 (ACCIDENT)'!$B$35</c:f>
              <c:strCache>
                <c:ptCount val="1"/>
                <c:pt idx="0">
                  <c:v>Rh-105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(ACCIDENT)'!$AX$35:$BD$35</c:f>
              <c:numCache>
                <c:formatCode>0.00000E+00</c:formatCode>
                <c:ptCount val="7"/>
                <c:pt idx="0">
                  <c:v>3.2803982573448241E+19</c:v>
                </c:pt>
                <c:pt idx="1">
                  <c:v>3.2803982573448241E+19</c:v>
                </c:pt>
                <c:pt idx="2">
                  <c:v>6.5607965146896486E+17</c:v>
                </c:pt>
                <c:pt idx="3">
                  <c:v>328039825734.48242</c:v>
                </c:pt>
                <c:pt idx="4">
                  <c:v>109346608578.1608</c:v>
                </c:pt>
                <c:pt idx="5">
                  <c:v>1093466085.7816081</c:v>
                </c:pt>
                <c:pt idx="6">
                  <c:v>546733042.89080405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5C-4B0D-B641-97F78CCADE8B}"/>
            </c:ext>
          </c:extLst>
        </c:ser>
        <c:ser>
          <c:idx val="9"/>
          <c:order val="9"/>
          <c:tx>
            <c:strRef>
              <c:f>'AZ6 RZ1 (ACCIDENT)'!$B$64</c:f>
              <c:strCache>
                <c:ptCount val="1"/>
                <c:pt idx="0">
                  <c:v>Eu-147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(ACCIDENT)'!$AX$64:$BD$64</c:f>
              <c:numCache>
                <c:formatCode>0.00000E+00</c:formatCode>
                <c:ptCount val="7"/>
                <c:pt idx="0">
                  <c:v>4.2642555115526762E+22</c:v>
                </c:pt>
                <c:pt idx="1">
                  <c:v>4.2642555115526762E+22</c:v>
                </c:pt>
                <c:pt idx="2">
                  <c:v>4.2642555115526762E+22</c:v>
                </c:pt>
                <c:pt idx="3">
                  <c:v>2.1321277557763382E+17</c:v>
                </c:pt>
                <c:pt idx="4">
                  <c:v>7107092519254461</c:v>
                </c:pt>
                <c:pt idx="5">
                  <c:v>71070925192544.609</c:v>
                </c:pt>
                <c:pt idx="6">
                  <c:v>35535462596272.305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5C-4B0D-B641-97F78CCAD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772765824"/>
        <c:axId val="772761984"/>
      </c:lineChart>
      <c:catAx>
        <c:axId val="772765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Etapas de contencion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61984"/>
        <c:crosses val="autoZero"/>
        <c:auto val="1"/>
        <c:lblAlgn val="ctr"/>
        <c:lblOffset val="100"/>
        <c:noMultiLvlLbl val="0"/>
      </c:catAx>
      <c:valAx>
        <c:axId val="77276198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Actividad (bq)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658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ysClr val="windowText" lastClr="000000"/>
                </a:solidFill>
              </a:rPr>
              <a:t>Actividad por etapas AF 50%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(NO)'!$AI$4:$AN$4</c:f>
            </c:numRef>
          </c:val>
          <c:smooth val="0"/>
          <c:extLst>
            <c:ext xmlns:c16="http://schemas.microsoft.com/office/drawing/2014/chart" uri="{C3380CC4-5D6E-409C-BE32-E72D297353CC}">
              <c16:uniqueId val="{00000000-299C-4FBD-B9B3-001B2E554D09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(NO)'!$AI$5:$AN$5</c:f>
            </c:numRef>
          </c:val>
          <c:smooth val="0"/>
          <c:extLst>
            <c:ext xmlns:c16="http://schemas.microsoft.com/office/drawing/2014/chart" uri="{C3380CC4-5D6E-409C-BE32-E72D297353CC}">
              <c16:uniqueId val="{00000001-299C-4FBD-B9B3-001B2E554D09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(NO)'!$AI$6:$AN$6</c:f>
            </c:numRef>
          </c:val>
          <c:smooth val="0"/>
          <c:extLst>
            <c:ext xmlns:c16="http://schemas.microsoft.com/office/drawing/2014/chart" uri="{C3380CC4-5D6E-409C-BE32-E72D297353CC}">
              <c16:uniqueId val="{00000002-299C-4FBD-B9B3-001B2E554D09}"/>
            </c:ext>
          </c:extLst>
        </c:ser>
        <c:ser>
          <c:idx val="3"/>
          <c:order val="3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(NO)'!$AI$7:$AN$7</c:f>
            </c:numRef>
          </c:val>
          <c:smooth val="0"/>
          <c:extLst>
            <c:ext xmlns:c16="http://schemas.microsoft.com/office/drawing/2014/chart" uri="{C3380CC4-5D6E-409C-BE32-E72D297353CC}">
              <c16:uniqueId val="{00000003-299C-4FBD-B9B3-001B2E554D09}"/>
            </c:ext>
          </c:extLst>
        </c:ser>
        <c:ser>
          <c:idx val="4"/>
          <c:order val="4"/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(NO)'!$AI$8:$AN$8</c:f>
            </c:numRef>
          </c:val>
          <c:smooth val="0"/>
          <c:extLst>
            <c:ext xmlns:c16="http://schemas.microsoft.com/office/drawing/2014/chart" uri="{C3380CC4-5D6E-409C-BE32-E72D297353CC}">
              <c16:uniqueId val="{00000004-299C-4FBD-B9B3-001B2E554D09}"/>
            </c:ext>
          </c:extLst>
        </c:ser>
        <c:ser>
          <c:idx val="5"/>
          <c:order val="5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(NO)'!$AI$9:$AN$9</c:f>
            </c:numRef>
          </c:val>
          <c:smooth val="0"/>
          <c:extLst>
            <c:ext xmlns:c16="http://schemas.microsoft.com/office/drawing/2014/chart" uri="{C3380CC4-5D6E-409C-BE32-E72D297353CC}">
              <c16:uniqueId val="{00000005-299C-4FBD-B9B3-001B2E554D09}"/>
            </c:ext>
          </c:extLst>
        </c:ser>
        <c:ser>
          <c:idx val="6"/>
          <c:order val="6"/>
          <c:tx>
            <c:strRef>
              <c:f>'AZ6 RZ1 (NO)'!$B$10</c:f>
              <c:strCache>
                <c:ptCount val="1"/>
                <c:pt idx="0">
                  <c:v>Pd-107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(NO)'!$AI$10:$AN$10</c:f>
              <c:numCache>
                <c:formatCode>0.00000E+00</c:formatCode>
                <c:ptCount val="6"/>
                <c:pt idx="0">
                  <c:v>1058537081181.8613</c:v>
                </c:pt>
                <c:pt idx="1">
                  <c:v>1058537081181.8613</c:v>
                </c:pt>
                <c:pt idx="2">
                  <c:v>529268540590.93066</c:v>
                </c:pt>
                <c:pt idx="3">
                  <c:v>1058537081.1818614</c:v>
                </c:pt>
                <c:pt idx="4">
                  <c:v>529268540.5909307</c:v>
                </c:pt>
                <c:pt idx="5" formatCode="General">
                  <c:v>5.2926854059093067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9C-4FBD-B9B3-001B2E554D09}"/>
            </c:ext>
          </c:extLst>
        </c:ser>
        <c:ser>
          <c:idx val="7"/>
          <c:order val="7"/>
          <c:tx>
            <c:strRef>
              <c:f>'AZ6 RZ1 (NO)'!$B$12</c:f>
              <c:strCache>
                <c:ptCount val="1"/>
                <c:pt idx="0">
                  <c:v>Rb-87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'AZ6 RZ1 (NO)'!$AI$12:$AN$12</c:f>
              <c:numCache>
                <c:formatCode>0.00000E+00</c:formatCode>
                <c:ptCount val="6"/>
                <c:pt idx="0">
                  <c:v>10811074340.25753</c:v>
                </c:pt>
                <c:pt idx="1">
                  <c:v>10811074340.25753</c:v>
                </c:pt>
                <c:pt idx="2">
                  <c:v>3603691446.7525101</c:v>
                </c:pt>
                <c:pt idx="3">
                  <c:v>36.036914467525101</c:v>
                </c:pt>
                <c:pt idx="4">
                  <c:v>7.2073828935050201</c:v>
                </c:pt>
                <c:pt idx="5" formatCode="General">
                  <c:v>7.2073828935050204E-8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9C-4FBD-B9B3-001B2E554D09}"/>
            </c:ext>
          </c:extLst>
        </c:ser>
        <c:ser>
          <c:idx val="8"/>
          <c:order val="8"/>
          <c:tx>
            <c:strRef>
              <c:f>'AZ6 RZ1 (NO)'!$B$35</c:f>
              <c:strCache>
                <c:ptCount val="1"/>
                <c:pt idx="0">
                  <c:v>Rh-105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'AZ6 RZ1 (NO)'!$AI$35:$AN$35</c:f>
              <c:numCache>
                <c:formatCode>0.00000E+00</c:formatCode>
                <c:ptCount val="6"/>
                <c:pt idx="0">
                  <c:v>3.2803982573448241E+19</c:v>
                </c:pt>
                <c:pt idx="1">
                  <c:v>3.2803982573448241E+19</c:v>
                </c:pt>
                <c:pt idx="2">
                  <c:v>6.560796514689648E+16</c:v>
                </c:pt>
                <c:pt idx="3">
                  <c:v>656079651.46896482</c:v>
                </c:pt>
                <c:pt idx="4">
                  <c:v>656079.65146896488</c:v>
                </c:pt>
                <c:pt idx="5" formatCode="General">
                  <c:v>6.5607965146896492E-3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9C-4FBD-B9B3-001B2E554D09}"/>
            </c:ext>
          </c:extLst>
        </c:ser>
        <c:ser>
          <c:idx val="9"/>
          <c:order val="9"/>
          <c:tx>
            <c:strRef>
              <c:f>'AZ6 RZ1 (NO)'!$B$64</c:f>
              <c:strCache>
                <c:ptCount val="1"/>
                <c:pt idx="0">
                  <c:v>Eu-147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'AZ6 RZ1 (NO)'!$AI$64:$AN$64</c:f>
              <c:numCache>
                <c:formatCode>0.00000E+00</c:formatCode>
                <c:ptCount val="6"/>
                <c:pt idx="0">
                  <c:v>4.2642555115526762E+22</c:v>
                </c:pt>
                <c:pt idx="1">
                  <c:v>4.2642555115526762E+22</c:v>
                </c:pt>
                <c:pt idx="2">
                  <c:v>8.5285110231053527E+20</c:v>
                </c:pt>
                <c:pt idx="3">
                  <c:v>8.528511023105353E+17</c:v>
                </c:pt>
                <c:pt idx="4">
                  <c:v>852851102310535.38</c:v>
                </c:pt>
                <c:pt idx="5" formatCode="General">
                  <c:v>8528511.0231053531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9C-4FBD-B9B3-001B2E554D09}"/>
            </c:ext>
          </c:extLst>
        </c:ser>
        <c:ser>
          <c:idx val="10"/>
          <c:order val="10"/>
          <c:tx>
            <c:strRef>
              <c:f>'AZ6 RZ1 (NO)'!$B$20</c:f>
              <c:strCache>
                <c:ptCount val="1"/>
                <c:pt idx="0">
                  <c:v>Xe-135</c:v>
                </c:pt>
              </c:strCache>
            </c:strRef>
          </c:tx>
          <c:spPr>
            <a:ln w="22225" cap="rnd" cmpd="sng" algn="ctr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'AZ6 RZ1 (NO)'!$AI$20:$AN$20</c:f>
              <c:numCache>
                <c:formatCode>0.00000E+00</c:formatCode>
                <c:ptCount val="6"/>
                <c:pt idx="0">
                  <c:v>1.5585413256972247E+19</c:v>
                </c:pt>
                <c:pt idx="1">
                  <c:v>1.5585413256972247E+18</c:v>
                </c:pt>
                <c:pt idx="2">
                  <c:v>3.1170826513944496E+16</c:v>
                </c:pt>
                <c:pt idx="3">
                  <c:v>311708265.13944495</c:v>
                </c:pt>
                <c:pt idx="4">
                  <c:v>311708265.13944495</c:v>
                </c:pt>
                <c:pt idx="5" formatCode="General">
                  <c:v>311708265.13944495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7-4D61-95B7-F9BD44139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772765824"/>
        <c:axId val="772761984"/>
      </c:lineChart>
      <c:catAx>
        <c:axId val="772765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Etapas de contencion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61984"/>
        <c:crossesAt val="1.0000000000000005E-8"/>
        <c:auto val="1"/>
        <c:lblAlgn val="ctr"/>
        <c:lblOffset val="100"/>
        <c:noMultiLvlLbl val="0"/>
      </c:catAx>
      <c:valAx>
        <c:axId val="77276198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Actividad (bq)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658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ysClr val="windowText" lastClr="000000"/>
                </a:solidFill>
              </a:rPr>
              <a:t>Actividad por etapas AF 95%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(NO)'!$AI$4:$AN$4</c:f>
            </c:numRef>
          </c:val>
          <c:smooth val="0"/>
          <c:extLst>
            <c:ext xmlns:c16="http://schemas.microsoft.com/office/drawing/2014/chart" uri="{C3380CC4-5D6E-409C-BE32-E72D297353CC}">
              <c16:uniqueId val="{00000000-85F1-4FA7-965E-A78741388D6D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(NO)'!$AI$5:$AN$5</c:f>
            </c:numRef>
          </c:val>
          <c:smooth val="0"/>
          <c:extLst>
            <c:ext xmlns:c16="http://schemas.microsoft.com/office/drawing/2014/chart" uri="{C3380CC4-5D6E-409C-BE32-E72D297353CC}">
              <c16:uniqueId val="{00000001-85F1-4FA7-965E-A78741388D6D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(NO)'!$AI$6:$AN$6</c:f>
            </c:numRef>
          </c:val>
          <c:smooth val="0"/>
          <c:extLst>
            <c:ext xmlns:c16="http://schemas.microsoft.com/office/drawing/2014/chart" uri="{C3380CC4-5D6E-409C-BE32-E72D297353CC}">
              <c16:uniqueId val="{00000002-85F1-4FA7-965E-A78741388D6D}"/>
            </c:ext>
          </c:extLst>
        </c:ser>
        <c:ser>
          <c:idx val="3"/>
          <c:order val="3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(NO)'!$AI$7:$AN$7</c:f>
            </c:numRef>
          </c:val>
          <c:smooth val="0"/>
          <c:extLst>
            <c:ext xmlns:c16="http://schemas.microsoft.com/office/drawing/2014/chart" uri="{C3380CC4-5D6E-409C-BE32-E72D297353CC}">
              <c16:uniqueId val="{00000003-85F1-4FA7-965E-A78741388D6D}"/>
            </c:ext>
          </c:extLst>
        </c:ser>
        <c:ser>
          <c:idx val="4"/>
          <c:order val="4"/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(NO)'!$AI$8:$AN$8</c:f>
            </c:numRef>
          </c:val>
          <c:smooth val="0"/>
          <c:extLst>
            <c:ext xmlns:c16="http://schemas.microsoft.com/office/drawing/2014/chart" uri="{C3380CC4-5D6E-409C-BE32-E72D297353CC}">
              <c16:uniqueId val="{00000004-85F1-4FA7-965E-A78741388D6D}"/>
            </c:ext>
          </c:extLst>
        </c:ser>
        <c:ser>
          <c:idx val="5"/>
          <c:order val="5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(NO)'!$AI$9:$AN$9</c:f>
            </c:numRef>
          </c:val>
          <c:smooth val="0"/>
          <c:extLst>
            <c:ext xmlns:c16="http://schemas.microsoft.com/office/drawing/2014/chart" uri="{C3380CC4-5D6E-409C-BE32-E72D297353CC}">
              <c16:uniqueId val="{00000005-85F1-4FA7-965E-A78741388D6D}"/>
            </c:ext>
          </c:extLst>
        </c:ser>
        <c:ser>
          <c:idx val="6"/>
          <c:order val="6"/>
          <c:tx>
            <c:strRef>
              <c:f>'AZ6 RZ1 (NO)'!$B$10</c:f>
              <c:strCache>
                <c:ptCount val="1"/>
                <c:pt idx="0">
                  <c:v>Pd-107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(NO)'!$AI$3:$AN$3</c:f>
              <c:strCache>
                <c:ptCount val="6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</c:strCache>
            </c:strRef>
          </c:cat>
          <c:val>
            <c:numRef>
              <c:f>'AZ6 RZ1 (NO)'!$AQ$10:$AV$10</c:f>
              <c:numCache>
                <c:formatCode>0.00000E+00</c:formatCode>
                <c:ptCount val="6"/>
                <c:pt idx="0">
                  <c:v>1058537081181.8613</c:v>
                </c:pt>
                <c:pt idx="1">
                  <c:v>1058537081181.8613</c:v>
                </c:pt>
                <c:pt idx="2">
                  <c:v>1058537081181.8613</c:v>
                </c:pt>
                <c:pt idx="3">
                  <c:v>10585370811.818613</c:v>
                </c:pt>
                <c:pt idx="4">
                  <c:v>10585370811.818613</c:v>
                </c:pt>
                <c:pt idx="5">
                  <c:v>10.585370811818613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F1-4FA7-965E-A78741388D6D}"/>
            </c:ext>
          </c:extLst>
        </c:ser>
        <c:ser>
          <c:idx val="7"/>
          <c:order val="7"/>
          <c:tx>
            <c:strRef>
              <c:f>'AZ6 RZ1 (NO)'!$B$12</c:f>
              <c:strCache>
                <c:ptCount val="1"/>
                <c:pt idx="0">
                  <c:v>Rb-87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'AZ6 RZ1 (NO)'!$AQ$12:$AV$12</c:f>
              <c:numCache>
                <c:formatCode>0.00000E+00</c:formatCode>
                <c:ptCount val="6"/>
                <c:pt idx="0">
                  <c:v>10811074340.25753</c:v>
                </c:pt>
                <c:pt idx="1">
                  <c:v>10811074340.25753</c:v>
                </c:pt>
                <c:pt idx="2">
                  <c:v>10811074340.25753</c:v>
                </c:pt>
                <c:pt idx="3">
                  <c:v>10811.07434025753</c:v>
                </c:pt>
                <c:pt idx="4">
                  <c:v>5405.537170128765</c:v>
                </c:pt>
                <c:pt idx="5">
                  <c:v>5.4055371701287652E-6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F1-4FA7-965E-A78741388D6D}"/>
            </c:ext>
          </c:extLst>
        </c:ser>
        <c:ser>
          <c:idx val="8"/>
          <c:order val="8"/>
          <c:tx>
            <c:strRef>
              <c:f>'AZ6 RZ1 (NO)'!$B$35</c:f>
              <c:strCache>
                <c:ptCount val="1"/>
                <c:pt idx="0">
                  <c:v>Rh-105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'AZ6 RZ1 (NO)'!$AQ$35:$AV$35</c:f>
              <c:numCache>
                <c:formatCode>0.00000E+00</c:formatCode>
                <c:ptCount val="6"/>
                <c:pt idx="0">
                  <c:v>3.2803982573448241E+19</c:v>
                </c:pt>
                <c:pt idx="1">
                  <c:v>3.2803982573448241E+19</c:v>
                </c:pt>
                <c:pt idx="2">
                  <c:v>1.0934660857816081E+18</c:v>
                </c:pt>
                <c:pt idx="3">
                  <c:v>109346608578.1608</c:v>
                </c:pt>
                <c:pt idx="4">
                  <c:v>364488695.26053602</c:v>
                </c:pt>
                <c:pt idx="5">
                  <c:v>0.36448869526053601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F1-4FA7-965E-A78741388D6D}"/>
            </c:ext>
          </c:extLst>
        </c:ser>
        <c:ser>
          <c:idx val="9"/>
          <c:order val="9"/>
          <c:tx>
            <c:strRef>
              <c:f>'AZ6 RZ1 (NO)'!$B$64</c:f>
              <c:strCache>
                <c:ptCount val="1"/>
                <c:pt idx="0">
                  <c:v>Eu-147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'AZ6 RZ1 (NO)'!$AQ$64:$AV$64</c:f>
              <c:numCache>
                <c:formatCode>0.00000E+00</c:formatCode>
                <c:ptCount val="6"/>
                <c:pt idx="0">
                  <c:v>4.2642555115526762E+22</c:v>
                </c:pt>
                <c:pt idx="1">
                  <c:v>4.2642555115526762E+22</c:v>
                </c:pt>
                <c:pt idx="2">
                  <c:v>2.1321277557763382E+21</c:v>
                </c:pt>
                <c:pt idx="3">
                  <c:v>1.0660638778881692E+19</c:v>
                </c:pt>
                <c:pt idx="4">
                  <c:v>3.5535462596272308E+16</c:v>
                </c:pt>
                <c:pt idx="5">
                  <c:v>35535462.596272312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5F1-4FA7-965E-A78741388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772765824"/>
        <c:axId val="772761984"/>
      </c:lineChart>
      <c:catAx>
        <c:axId val="772765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Etapas de contencion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61984"/>
        <c:crossesAt val="1.0000000000000004E-6"/>
        <c:auto val="1"/>
        <c:lblAlgn val="ctr"/>
        <c:lblOffset val="100"/>
        <c:noMultiLvlLbl val="0"/>
      </c:catAx>
      <c:valAx>
        <c:axId val="77276198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Actividad (bq)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658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97</xdr:row>
      <xdr:rowOff>0</xdr:rowOff>
    </xdr:from>
    <xdr:ext cx="3390900" cy="5876925"/>
    <xdr:pic>
      <xdr:nvPicPr>
        <xdr:cNvPr id="2" name="image2.png">
          <a:extLst>
            <a:ext uri="{FF2B5EF4-FFF2-40B4-BE49-F238E27FC236}">
              <a16:creationId xmlns:a16="http://schemas.microsoft.com/office/drawing/2014/main" id="{2127E334-F774-432A-B519-574521242C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12877800"/>
          <a:ext cx="3390900" cy="5876925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57150</xdr:colOff>
      <xdr:row>2</xdr:row>
      <xdr:rowOff>9525</xdr:rowOff>
    </xdr:from>
    <xdr:ext cx="6162675" cy="2628900"/>
    <xdr:pic>
      <xdr:nvPicPr>
        <xdr:cNvPr id="3" name="image1.png">
          <a:extLst>
            <a:ext uri="{FF2B5EF4-FFF2-40B4-BE49-F238E27FC236}">
              <a16:creationId xmlns:a16="http://schemas.microsoft.com/office/drawing/2014/main" id="{1A7A616D-DC10-4597-9818-CDD35786410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091975" y="590550"/>
          <a:ext cx="6162675" cy="2628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61</xdr:col>
      <xdr:colOff>19050</xdr:colOff>
      <xdr:row>34</xdr:row>
      <xdr:rowOff>28575</xdr:rowOff>
    </xdr:from>
    <xdr:to>
      <xdr:col>68</xdr:col>
      <xdr:colOff>218208</xdr:colOff>
      <xdr:row>66</xdr:row>
      <xdr:rowOff>142361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FFADD70-E275-4A2D-A842-7D8B7393D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053875" y="3505200"/>
          <a:ext cx="6933333" cy="4114286"/>
        </a:xfrm>
        <a:prstGeom prst="rect">
          <a:avLst/>
        </a:prstGeom>
      </xdr:spPr>
    </xdr:pic>
    <xdr:clientData/>
  </xdr:twoCellAnchor>
  <xdr:twoCellAnchor>
    <xdr:from>
      <xdr:col>40</xdr:col>
      <xdr:colOff>1</xdr:colOff>
      <xdr:row>68</xdr:row>
      <xdr:rowOff>190500</xdr:rowOff>
    </xdr:from>
    <xdr:to>
      <xdr:col>47</xdr:col>
      <xdr:colOff>523875</xdr:colOff>
      <xdr:row>93</xdr:row>
      <xdr:rowOff>57150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05F087-2251-4C9C-A1ED-67D05C8CB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590549</xdr:colOff>
      <xdr:row>68</xdr:row>
      <xdr:rowOff>190501</xdr:rowOff>
    </xdr:from>
    <xdr:to>
      <xdr:col>56</xdr:col>
      <xdr:colOff>38099</xdr:colOff>
      <xdr:row>93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CB7F1D4-18C6-4F4D-A98E-26BA272B5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476250</xdr:colOff>
      <xdr:row>2</xdr:row>
      <xdr:rowOff>700087</xdr:rowOff>
    </xdr:from>
    <xdr:to>
      <xdr:col>37</xdr:col>
      <xdr:colOff>628651</xdr:colOff>
      <xdr:row>3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EF430CE9-D92F-02E0-DB2A-AA3796EADEA7}"/>
            </a:ext>
          </a:extLst>
        </xdr:cNvPr>
        <xdr:cNvSpPr txBox="1"/>
      </xdr:nvSpPr>
      <xdr:spPr>
        <a:xfrm>
          <a:off x="35109150" y="1557337"/>
          <a:ext cx="1247776" cy="2524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Bq	Ci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96</xdr:row>
      <xdr:rowOff>0</xdr:rowOff>
    </xdr:from>
    <xdr:ext cx="3390900" cy="5876925"/>
    <xdr:pic>
      <xdr:nvPicPr>
        <xdr:cNvPr id="2" name="image2.png">
          <a:extLst>
            <a:ext uri="{FF2B5EF4-FFF2-40B4-BE49-F238E27FC236}">
              <a16:creationId xmlns:a16="http://schemas.microsoft.com/office/drawing/2014/main" id="{0C9FEFAC-7677-4345-A5BE-522FD17B2B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0550" y="19611975"/>
          <a:ext cx="3390900" cy="5876925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57150</xdr:colOff>
      <xdr:row>2</xdr:row>
      <xdr:rowOff>9525</xdr:rowOff>
    </xdr:from>
    <xdr:ext cx="6162675" cy="2628900"/>
    <xdr:pic>
      <xdr:nvPicPr>
        <xdr:cNvPr id="3" name="image1.png">
          <a:extLst>
            <a:ext uri="{FF2B5EF4-FFF2-40B4-BE49-F238E27FC236}">
              <a16:creationId xmlns:a16="http://schemas.microsoft.com/office/drawing/2014/main" id="{0295336B-AA00-43FA-BC04-D01F548208F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291875" y="581025"/>
          <a:ext cx="6162675" cy="2628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53</xdr:col>
      <xdr:colOff>19050</xdr:colOff>
      <xdr:row>34</xdr:row>
      <xdr:rowOff>28575</xdr:rowOff>
    </xdr:from>
    <xdr:to>
      <xdr:col>60</xdr:col>
      <xdr:colOff>218208</xdr:colOff>
      <xdr:row>67</xdr:row>
      <xdr:rowOff>142361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E3278AB-F019-FAF5-32EB-85727B085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253775" y="3495675"/>
          <a:ext cx="6933333" cy="4114286"/>
        </a:xfrm>
        <a:prstGeom prst="rect">
          <a:avLst/>
        </a:prstGeom>
      </xdr:spPr>
    </xdr:pic>
    <xdr:clientData/>
  </xdr:twoCellAnchor>
  <xdr:twoCellAnchor>
    <xdr:from>
      <xdr:col>34</xdr:col>
      <xdr:colOff>1</xdr:colOff>
      <xdr:row>67</xdr:row>
      <xdr:rowOff>190500</xdr:rowOff>
    </xdr:from>
    <xdr:to>
      <xdr:col>40</xdr:col>
      <xdr:colOff>523875</xdr:colOff>
      <xdr:row>92</xdr:row>
      <xdr:rowOff>57150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C8A045D-860F-30BA-CDD3-B0F66B4A4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590549</xdr:colOff>
      <xdr:row>67</xdr:row>
      <xdr:rowOff>190501</xdr:rowOff>
    </xdr:from>
    <xdr:to>
      <xdr:col>48</xdr:col>
      <xdr:colOff>38099</xdr:colOff>
      <xdr:row>92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D15CAC-44A2-4FEA-89A7-9CC6C1134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E3E9-10BB-47CA-B334-4EFF9AC88B15}">
  <sheetPr filterMode="1"/>
  <dimension ref="B1:BD1001"/>
  <sheetViews>
    <sheetView tabSelected="1" topLeftCell="A56" workbookViewId="0">
      <selection activeCell="AZ97" sqref="AZ97"/>
    </sheetView>
  </sheetViews>
  <sheetFormatPr defaultColWidth="14.42578125" defaultRowHeight="15" customHeight="1" x14ac:dyDescent="0.25"/>
  <cols>
    <col min="2" max="2" width="8.85546875" customWidth="1"/>
    <col min="3" max="4" width="15" customWidth="1"/>
    <col min="5" max="7" width="18.28515625" customWidth="1"/>
    <col min="8" max="12" width="14.28515625" customWidth="1"/>
    <col min="13" max="13" width="12.28515625" customWidth="1"/>
    <col min="14" max="14" width="18" customWidth="1"/>
    <col min="15" max="15" width="20" customWidth="1"/>
    <col min="16" max="16" width="11.140625" customWidth="1"/>
    <col min="17" max="17" width="13.5703125" customWidth="1"/>
    <col min="18" max="18" width="11.5703125" customWidth="1"/>
    <col min="19" max="23" width="12.140625" customWidth="1"/>
    <col min="24" max="25" width="21.140625" customWidth="1"/>
    <col min="26" max="35" width="13.140625" customWidth="1"/>
    <col min="36" max="36" width="18.85546875" customWidth="1"/>
    <col min="37" max="37" width="16.42578125" customWidth="1"/>
    <col min="38" max="38" width="13.7109375" customWidth="1"/>
    <col min="39" max="39" width="18.85546875" customWidth="1"/>
    <col min="40" max="40" width="8.85546875" customWidth="1"/>
    <col min="41" max="47" width="12.5703125" customWidth="1"/>
    <col min="48" max="49" width="8.85546875" customWidth="1"/>
    <col min="50" max="52" width="12.85546875" customWidth="1"/>
  </cols>
  <sheetData>
    <row r="1" spans="2:56" ht="15" customHeight="1" thickBot="1" x14ac:dyDescent="0.3">
      <c r="U1" s="38"/>
      <c r="V1" s="38"/>
      <c r="W1" s="38"/>
    </row>
    <row r="2" spans="2:56" ht="52.5" customHeight="1" thickBot="1" x14ac:dyDescent="0.3">
      <c r="O2" s="1" t="s">
        <v>0</v>
      </c>
      <c r="V2" s="123" t="s">
        <v>277</v>
      </c>
      <c r="W2" s="123"/>
      <c r="X2" s="118" t="s">
        <v>283</v>
      </c>
      <c r="Y2" s="119"/>
      <c r="Z2" s="118" t="s">
        <v>282</v>
      </c>
      <c r="AA2" s="119"/>
      <c r="AB2" s="118" t="s">
        <v>281</v>
      </c>
      <c r="AC2" s="119"/>
      <c r="AD2" s="119" t="s">
        <v>256</v>
      </c>
      <c r="AE2" s="119"/>
      <c r="AF2" s="119" t="s">
        <v>257</v>
      </c>
      <c r="AG2" s="119"/>
      <c r="AH2" s="125" t="s">
        <v>280</v>
      </c>
      <c r="AI2" s="122"/>
      <c r="AJ2" s="120" t="s">
        <v>6</v>
      </c>
      <c r="AK2" s="121"/>
      <c r="AL2" s="122"/>
      <c r="AM2" s="119" t="str">
        <f>B3</f>
        <v xml:space="preserve">Isotopo
</v>
      </c>
      <c r="AO2" s="126" t="s">
        <v>275</v>
      </c>
      <c r="AP2" s="127"/>
      <c r="AQ2" s="127"/>
      <c r="AR2" s="127"/>
      <c r="AS2" s="127"/>
      <c r="AT2" s="127"/>
      <c r="AU2" s="128"/>
      <c r="AX2" s="115" t="s">
        <v>276</v>
      </c>
      <c r="AY2" s="116"/>
      <c r="AZ2" s="116"/>
      <c r="BA2" s="116"/>
      <c r="BB2" s="116"/>
      <c r="BC2" s="116"/>
      <c r="BD2" s="117"/>
    </row>
    <row r="3" spans="2:56" ht="75" customHeight="1" thickBot="1" x14ac:dyDescent="0.3">
      <c r="B3" s="4" t="s">
        <v>84</v>
      </c>
      <c r="C3" s="40" t="s">
        <v>249</v>
      </c>
      <c r="D3" s="36" t="s">
        <v>246</v>
      </c>
      <c r="E3" s="36" t="s">
        <v>247</v>
      </c>
      <c r="F3" s="36" t="s">
        <v>201</v>
      </c>
      <c r="G3" s="36" t="s">
        <v>199</v>
      </c>
      <c r="H3" s="40" t="s">
        <v>200</v>
      </c>
      <c r="I3" s="59" t="s">
        <v>14</v>
      </c>
      <c r="J3" s="41" t="s">
        <v>1</v>
      </c>
      <c r="K3" s="41" t="s">
        <v>86</v>
      </c>
      <c r="L3" s="41" t="s">
        <v>154</v>
      </c>
      <c r="M3" s="41" t="s">
        <v>2</v>
      </c>
      <c r="N3" s="39" t="s">
        <v>3</v>
      </c>
      <c r="O3" s="39" t="s">
        <v>250</v>
      </c>
      <c r="P3" s="39" t="s">
        <v>251</v>
      </c>
      <c r="Q3" s="39" t="s">
        <v>252</v>
      </c>
      <c r="R3" s="39" t="s">
        <v>4</v>
      </c>
      <c r="S3" s="39" t="s">
        <v>5</v>
      </c>
      <c r="T3" s="49" t="s">
        <v>284</v>
      </c>
      <c r="U3" s="49" t="s">
        <v>248</v>
      </c>
      <c r="V3" s="73">
        <v>0.5</v>
      </c>
      <c r="W3" s="73">
        <v>0.95</v>
      </c>
      <c r="X3" s="52" t="s">
        <v>258</v>
      </c>
      <c r="Y3" s="52" t="s">
        <v>259</v>
      </c>
      <c r="Z3" s="52" t="s">
        <v>260</v>
      </c>
      <c r="AA3" s="52" t="s">
        <v>261</v>
      </c>
      <c r="AB3" s="52" t="s">
        <v>262</v>
      </c>
      <c r="AC3" s="52" t="s">
        <v>263</v>
      </c>
      <c r="AD3" s="52" t="s">
        <v>264</v>
      </c>
      <c r="AE3" s="52" t="s">
        <v>265</v>
      </c>
      <c r="AF3" s="52" t="s">
        <v>266</v>
      </c>
      <c r="AG3" s="52" t="s">
        <v>267</v>
      </c>
      <c r="AH3" s="52" t="s">
        <v>278</v>
      </c>
      <c r="AI3" s="52" t="s">
        <v>279</v>
      </c>
      <c r="AJ3" s="52" t="s">
        <v>268</v>
      </c>
      <c r="AK3" s="125" t="s">
        <v>269</v>
      </c>
      <c r="AL3" s="129"/>
      <c r="AM3" s="119"/>
      <c r="AO3" s="70" t="s">
        <v>274</v>
      </c>
      <c r="AP3" s="71" t="s">
        <v>270</v>
      </c>
      <c r="AQ3" s="71" t="s">
        <v>273</v>
      </c>
      <c r="AR3" s="71" t="s">
        <v>271</v>
      </c>
      <c r="AS3" s="71" t="s">
        <v>272</v>
      </c>
      <c r="AT3" s="71" t="s">
        <v>257</v>
      </c>
      <c r="AU3" s="72" t="s">
        <v>280</v>
      </c>
      <c r="AX3" s="109" t="s">
        <v>274</v>
      </c>
      <c r="AY3" s="76" t="s">
        <v>270</v>
      </c>
      <c r="AZ3" s="76" t="s">
        <v>273</v>
      </c>
      <c r="BA3" s="76" t="s">
        <v>271</v>
      </c>
      <c r="BB3" s="76" t="s">
        <v>272</v>
      </c>
      <c r="BC3" s="76" t="s">
        <v>257</v>
      </c>
      <c r="BD3" s="72" t="s">
        <v>280</v>
      </c>
    </row>
    <row r="4" spans="2:56" hidden="1" x14ac:dyDescent="0.25">
      <c r="B4" s="6" t="s">
        <v>7</v>
      </c>
      <c r="C4" s="23">
        <v>6012</v>
      </c>
      <c r="D4" s="23"/>
      <c r="E4" s="24">
        <v>1.1821099999999999E-2</v>
      </c>
      <c r="F4" s="24"/>
      <c r="G4" s="24" t="s">
        <v>15</v>
      </c>
      <c r="H4" s="22" t="s">
        <v>15</v>
      </c>
      <c r="I4" s="20"/>
      <c r="J4" s="14"/>
      <c r="K4" s="17"/>
      <c r="L4" s="17"/>
      <c r="M4" s="12">
        <f>J4*24*3600+I4*365*24*3600+K4*3600+L4*60</f>
        <v>0</v>
      </c>
      <c r="N4" s="8"/>
      <c r="O4" s="30">
        <f t="shared" ref="O4:O68" si="0">10^-24</f>
        <v>1.0000000000000001E-24</v>
      </c>
      <c r="P4" s="30">
        <f t="shared" ref="P4:P68" si="1">PI()*$K$98^2*$K$99</f>
        <v>13978830.671413144</v>
      </c>
      <c r="Q4" s="10">
        <f t="shared" ref="Q4:Q68" si="2">E4/O4</f>
        <v>1.1821099999999998E+22</v>
      </c>
      <c r="R4" s="10">
        <f t="shared" ref="R4:R68" si="3">Q4*P4</f>
        <v>1.6524515524984191E+29</v>
      </c>
      <c r="S4" s="10">
        <f t="shared" ref="S4:S68" si="4">R4*N4</f>
        <v>0</v>
      </c>
      <c r="T4" s="10"/>
      <c r="U4" s="10"/>
      <c r="V4" s="43"/>
      <c r="W4" s="43"/>
      <c r="X4" s="50">
        <v>0.01</v>
      </c>
      <c r="Y4" s="50"/>
      <c r="Z4" s="51">
        <v>0.999</v>
      </c>
      <c r="AA4" s="51"/>
      <c r="AB4" s="51"/>
      <c r="AC4" s="51"/>
      <c r="AD4" s="51"/>
      <c r="AE4" s="51"/>
      <c r="AF4" s="51"/>
      <c r="AG4" s="51"/>
      <c r="AH4" s="51"/>
      <c r="AI4" s="51"/>
      <c r="AJ4" s="43">
        <f t="shared" ref="AJ4:AJ9" si="5">S4*X4*(1-Z4)</f>
        <v>0</v>
      </c>
      <c r="AK4" s="42"/>
      <c r="AL4" s="42"/>
      <c r="AM4" s="42"/>
    </row>
    <row r="5" spans="2:56" hidden="1" x14ac:dyDescent="0.25">
      <c r="B5" s="6" t="s">
        <v>16</v>
      </c>
      <c r="C5" s="23">
        <v>8016</v>
      </c>
      <c r="D5" s="23"/>
      <c r="E5" s="25">
        <v>3.5463399999999999E-2</v>
      </c>
      <c r="F5" s="25"/>
      <c r="G5" s="25" t="s">
        <v>15</v>
      </c>
      <c r="H5" s="22" t="s">
        <v>15</v>
      </c>
      <c r="I5" s="20"/>
      <c r="J5" s="14"/>
      <c r="K5" s="17"/>
      <c r="L5" s="17"/>
      <c r="M5" s="12">
        <f t="shared" ref="M5:M69" si="6">J5*24*3600+I5*365*24*3600+K5*3600+L5*60</f>
        <v>0</v>
      </c>
      <c r="N5" s="8"/>
      <c r="O5" s="30">
        <f t="shared" si="0"/>
        <v>1.0000000000000001E-24</v>
      </c>
      <c r="P5" s="30">
        <f t="shared" si="1"/>
        <v>13978830.671413144</v>
      </c>
      <c r="Q5" s="10">
        <f t="shared" si="2"/>
        <v>3.5463399999999993E+22</v>
      </c>
      <c r="R5" s="10">
        <f t="shared" si="3"/>
        <v>4.9573686363259279E+29</v>
      </c>
      <c r="S5" s="10">
        <f t="shared" si="4"/>
        <v>0</v>
      </c>
      <c r="T5" s="10"/>
      <c r="U5" s="10"/>
      <c r="V5" s="10"/>
      <c r="W5" s="10"/>
      <c r="X5" s="9">
        <v>0.01</v>
      </c>
      <c r="Y5" s="9"/>
      <c r="Z5" s="11">
        <v>0.999</v>
      </c>
      <c r="AA5" s="11"/>
      <c r="AB5" s="11"/>
      <c r="AC5" s="11"/>
      <c r="AD5" s="11"/>
      <c r="AE5" s="11"/>
      <c r="AF5" s="11"/>
      <c r="AG5" s="11"/>
      <c r="AH5" s="11"/>
      <c r="AI5" s="11"/>
      <c r="AJ5" s="10">
        <f t="shared" si="5"/>
        <v>0</v>
      </c>
      <c r="AK5" s="42"/>
      <c r="AL5" s="42"/>
      <c r="AM5" s="42"/>
    </row>
    <row r="6" spans="2:56" hidden="1" x14ac:dyDescent="0.25">
      <c r="B6" s="6" t="s">
        <v>17</v>
      </c>
      <c r="C6" s="23">
        <v>36083</v>
      </c>
      <c r="D6" s="23"/>
      <c r="E6" s="25">
        <v>1.0084100000000001E-5</v>
      </c>
      <c r="F6" s="25"/>
      <c r="G6" s="25" t="s">
        <v>15</v>
      </c>
      <c r="H6" s="22" t="s">
        <v>15</v>
      </c>
      <c r="I6" s="20"/>
      <c r="J6" s="14"/>
      <c r="K6" s="17"/>
      <c r="L6" s="17"/>
      <c r="M6" s="12">
        <f t="shared" si="6"/>
        <v>0</v>
      </c>
      <c r="N6" s="8"/>
      <c r="O6" s="30">
        <f t="shared" si="0"/>
        <v>1.0000000000000001E-24</v>
      </c>
      <c r="P6" s="30">
        <f t="shared" si="1"/>
        <v>13978830.671413144</v>
      </c>
      <c r="Q6" s="10">
        <f t="shared" si="2"/>
        <v>1.00841E+19</v>
      </c>
      <c r="R6" s="10">
        <f t="shared" si="3"/>
        <v>1.4096392637359728E+26</v>
      </c>
      <c r="S6" s="10">
        <f t="shared" si="4"/>
        <v>0</v>
      </c>
      <c r="T6" s="10"/>
      <c r="U6" s="10"/>
      <c r="V6" s="10"/>
      <c r="W6" s="10"/>
      <c r="X6" s="9">
        <v>0.01</v>
      </c>
      <c r="Y6" s="9"/>
      <c r="Z6" s="11">
        <v>0.999</v>
      </c>
      <c r="AA6" s="11"/>
      <c r="AB6" s="11"/>
      <c r="AC6" s="11"/>
      <c r="AD6" s="11"/>
      <c r="AE6" s="11"/>
      <c r="AF6" s="11"/>
      <c r="AG6" s="11"/>
      <c r="AH6" s="11"/>
      <c r="AI6" s="11"/>
      <c r="AJ6" s="10">
        <f t="shared" si="5"/>
        <v>0</v>
      </c>
      <c r="AK6" s="42"/>
      <c r="AL6" s="42"/>
      <c r="AM6" s="42"/>
    </row>
    <row r="7" spans="2:56" hidden="1" x14ac:dyDescent="0.25">
      <c r="B7" s="6" t="s">
        <v>18</v>
      </c>
      <c r="C7" s="23">
        <v>36084</v>
      </c>
      <c r="D7" s="23"/>
      <c r="E7" s="25">
        <v>2.3899900000000001E-5</v>
      </c>
      <c r="F7" s="25"/>
      <c r="G7" s="25" t="s">
        <v>15</v>
      </c>
      <c r="H7" s="22" t="s">
        <v>15</v>
      </c>
      <c r="I7" s="20"/>
      <c r="J7" s="14"/>
      <c r="K7" s="17"/>
      <c r="L7" s="17"/>
      <c r="M7" s="12">
        <f t="shared" si="6"/>
        <v>0</v>
      </c>
      <c r="N7" s="8"/>
      <c r="O7" s="30">
        <f t="shared" si="0"/>
        <v>1.0000000000000001E-24</v>
      </c>
      <c r="P7" s="30">
        <f t="shared" si="1"/>
        <v>13978830.671413144</v>
      </c>
      <c r="Q7" s="10">
        <f t="shared" si="2"/>
        <v>2.38999E+19</v>
      </c>
      <c r="R7" s="10">
        <f t="shared" si="3"/>
        <v>3.3409265516370698E+26</v>
      </c>
      <c r="S7" s="10">
        <f t="shared" si="4"/>
        <v>0</v>
      </c>
      <c r="T7" s="10"/>
      <c r="U7" s="10"/>
      <c r="V7" s="10"/>
      <c r="W7" s="10"/>
      <c r="X7" s="9">
        <v>0.01</v>
      </c>
      <c r="Y7" s="9"/>
      <c r="Z7" s="11">
        <v>0.999</v>
      </c>
      <c r="AA7" s="11"/>
      <c r="AB7" s="11"/>
      <c r="AC7" s="11"/>
      <c r="AD7" s="11"/>
      <c r="AE7" s="11"/>
      <c r="AF7" s="11"/>
      <c r="AG7" s="11"/>
      <c r="AH7" s="11"/>
      <c r="AI7" s="11"/>
      <c r="AJ7" s="10">
        <f t="shared" si="5"/>
        <v>0</v>
      </c>
      <c r="AK7" s="42"/>
      <c r="AL7" s="42"/>
      <c r="AM7" s="42"/>
    </row>
    <row r="8" spans="2:56" hidden="1" x14ac:dyDescent="0.25">
      <c r="B8" s="6" t="s">
        <v>19</v>
      </c>
      <c r="C8" s="23">
        <v>36086</v>
      </c>
      <c r="D8" s="23"/>
      <c r="E8" s="25">
        <v>4.0467199999999998E-5</v>
      </c>
      <c r="F8" s="25"/>
      <c r="G8" s="25" t="s">
        <v>156</v>
      </c>
      <c r="H8" s="22" t="s">
        <v>15</v>
      </c>
      <c r="I8" s="20"/>
      <c r="J8" s="14"/>
      <c r="K8" s="17"/>
      <c r="L8" s="17"/>
      <c r="M8" s="12">
        <f t="shared" si="6"/>
        <v>0</v>
      </c>
      <c r="N8" s="8"/>
      <c r="O8" s="30">
        <f t="shared" si="0"/>
        <v>1.0000000000000001E-24</v>
      </c>
      <c r="P8" s="30">
        <f t="shared" si="1"/>
        <v>13978830.671413144</v>
      </c>
      <c r="Q8" s="10">
        <f t="shared" si="2"/>
        <v>4.0467199999999992E+19</v>
      </c>
      <c r="R8" s="10">
        <f t="shared" si="3"/>
        <v>5.6568413654620987E+26</v>
      </c>
      <c r="S8" s="10">
        <f t="shared" si="4"/>
        <v>0</v>
      </c>
      <c r="T8" s="10"/>
      <c r="U8" s="10"/>
      <c r="V8" s="10"/>
      <c r="W8" s="10"/>
      <c r="X8" s="9">
        <v>0.01</v>
      </c>
      <c r="Y8" s="9"/>
      <c r="Z8" s="11">
        <v>0.999</v>
      </c>
      <c r="AA8" s="11"/>
      <c r="AB8" s="11"/>
      <c r="AC8" s="11"/>
      <c r="AD8" s="11"/>
      <c r="AE8" s="11"/>
      <c r="AF8" s="11"/>
      <c r="AG8" s="11"/>
      <c r="AH8" s="11"/>
      <c r="AI8" s="11"/>
      <c r="AJ8" s="10">
        <f t="shared" si="5"/>
        <v>0</v>
      </c>
      <c r="AK8" s="42"/>
      <c r="AL8" s="42"/>
      <c r="AM8" s="42"/>
    </row>
    <row r="9" spans="2:56" hidden="1" x14ac:dyDescent="0.25">
      <c r="B9" s="6" t="s">
        <v>20</v>
      </c>
      <c r="C9" s="23">
        <v>37085</v>
      </c>
      <c r="D9" s="23"/>
      <c r="E9" s="25">
        <v>2.3198699999999999E-5</v>
      </c>
      <c r="F9" s="25"/>
      <c r="G9" s="25" t="s">
        <v>15</v>
      </c>
      <c r="H9" s="22" t="s">
        <v>15</v>
      </c>
      <c r="I9" s="20"/>
      <c r="J9" s="14"/>
      <c r="K9" s="17"/>
      <c r="L9" s="17"/>
      <c r="M9" s="12">
        <f t="shared" si="6"/>
        <v>0</v>
      </c>
      <c r="N9" s="8"/>
      <c r="O9" s="30">
        <f t="shared" si="0"/>
        <v>1.0000000000000001E-24</v>
      </c>
      <c r="P9" s="30">
        <f t="shared" si="1"/>
        <v>13978830.671413144</v>
      </c>
      <c r="Q9" s="10">
        <f t="shared" si="2"/>
        <v>2.3198699999999996E+19</v>
      </c>
      <c r="R9" s="10">
        <f t="shared" si="3"/>
        <v>3.2429069909691205E+26</v>
      </c>
      <c r="S9" s="10">
        <f t="shared" si="4"/>
        <v>0</v>
      </c>
      <c r="T9" s="10"/>
      <c r="U9" s="10"/>
      <c r="V9" s="45"/>
      <c r="W9" s="45"/>
      <c r="X9" s="54">
        <v>0.01</v>
      </c>
      <c r="Y9" s="54"/>
      <c r="Z9" s="77">
        <v>0.999</v>
      </c>
      <c r="AA9" s="77"/>
      <c r="AB9" s="77"/>
      <c r="AC9" s="77"/>
      <c r="AD9" s="77"/>
      <c r="AE9" s="77"/>
      <c r="AF9" s="77"/>
      <c r="AG9" s="77"/>
      <c r="AH9" s="77"/>
      <c r="AI9" s="77"/>
      <c r="AJ9" s="45">
        <f t="shared" si="5"/>
        <v>0</v>
      </c>
      <c r="AK9" s="42"/>
      <c r="AL9" s="42"/>
      <c r="AM9" s="42"/>
    </row>
    <row r="10" spans="2:56" x14ac:dyDescent="0.25">
      <c r="B10" s="6" t="s">
        <v>58</v>
      </c>
      <c r="C10" s="23">
        <v>46107</v>
      </c>
      <c r="D10" s="23" t="s">
        <v>239</v>
      </c>
      <c r="E10" s="25">
        <v>2.2393899999999999E-5</v>
      </c>
      <c r="F10" s="25"/>
      <c r="G10" s="25" t="s">
        <v>165</v>
      </c>
      <c r="H10" s="7" t="s">
        <v>59</v>
      </c>
      <c r="I10" s="13">
        <v>6500000</v>
      </c>
      <c r="J10" s="14"/>
      <c r="K10" s="17"/>
      <c r="L10" s="17"/>
      <c r="M10" s="12">
        <f t="shared" si="6"/>
        <v>204984000000000</v>
      </c>
      <c r="N10" s="12">
        <f>LN(2)/(M10)</f>
        <v>3.3814696784136581E-15</v>
      </c>
      <c r="O10" s="30">
        <f t="shared" si="0"/>
        <v>1.0000000000000001E-24</v>
      </c>
      <c r="P10" s="30">
        <f t="shared" si="1"/>
        <v>13978830.671413144</v>
      </c>
      <c r="Q10" s="10">
        <f t="shared" si="2"/>
        <v>2.2393899999999996E+19</v>
      </c>
      <c r="R10" s="10">
        <f t="shared" si="3"/>
        <v>3.1304053617255875E+26</v>
      </c>
      <c r="S10" s="57">
        <f t="shared" si="4"/>
        <v>1058537081181.8613</v>
      </c>
      <c r="T10" s="58">
        <f>S10*0.000000000027</f>
        <v>28.580501191910255</v>
      </c>
      <c r="U10" s="74" t="str">
        <f>D10</f>
        <v>Ag, Pd</v>
      </c>
      <c r="V10" s="106">
        <v>3.0000000000000001E-5</v>
      </c>
      <c r="W10" s="106">
        <v>8.0000000000000007E-5</v>
      </c>
      <c r="X10" s="79">
        <v>1</v>
      </c>
      <c r="Y10" s="79">
        <v>1</v>
      </c>
      <c r="Z10" s="80">
        <v>1</v>
      </c>
      <c r="AA10" s="80">
        <v>1</v>
      </c>
      <c r="AB10" s="80">
        <v>500</v>
      </c>
      <c r="AC10" s="80">
        <v>100</v>
      </c>
      <c r="AD10" s="80">
        <v>1</v>
      </c>
      <c r="AE10" s="80">
        <v>1</v>
      </c>
      <c r="AF10" s="113">
        <v>100</v>
      </c>
      <c r="AG10" s="113">
        <v>100</v>
      </c>
      <c r="AH10" s="80">
        <v>10</v>
      </c>
      <c r="AI10" s="80">
        <v>2</v>
      </c>
      <c r="AJ10" s="48">
        <f>$S10*(1/X10)*(1/Z10)*(1/AB10)*(1/AD10)*(1/AF10)*(1/AH10)</f>
        <v>2117074.1623637229</v>
      </c>
      <c r="AK10" s="48">
        <f>$S10*(1/Y10)*(1/AA10)*(1/AC10)*(1/AE10)*(1/AG10)*(1/AI10)</f>
        <v>52926854.059093066</v>
      </c>
      <c r="AL10" s="48">
        <f>AK10*0.000000000027</f>
        <v>1.4290250595955128E-3</v>
      </c>
      <c r="AM10" s="48" t="str">
        <f>B10</f>
        <v>Pd-107</v>
      </c>
      <c r="AO10" s="60">
        <f>$S10</f>
        <v>1058537081181.8613</v>
      </c>
      <c r="AP10" s="60">
        <f>$S10*(1/X10)</f>
        <v>1058537081181.8613</v>
      </c>
      <c r="AQ10" s="60">
        <f>$S10*(1/X10)*(1/Z10)</f>
        <v>1058537081181.8613</v>
      </c>
      <c r="AR10" s="60">
        <f>$S10*(1/X10)*(1/Z10)*(1/AB10)</f>
        <v>2117074162.3637228</v>
      </c>
      <c r="AS10" s="60">
        <f>$S10*(1/X10)*(1/Z10)*(1/AB10)*(1/AD10)</f>
        <v>2117074162.3637228</v>
      </c>
      <c r="AT10" s="5">
        <f>$S10*(1/X10)*(1/Z10)*(1/AB10)*(1/AD10)*(1/AF10)</f>
        <v>21170741.623637229</v>
      </c>
      <c r="AU10" s="60">
        <f>$S10*(1/X10)*(1/Z10)*(1/AB10)*(1/AD10)*(1/AF10)*(1/AH10)</f>
        <v>2117074.1623637229</v>
      </c>
      <c r="AX10" s="60">
        <f>AO10</f>
        <v>1058537081181.8613</v>
      </c>
      <c r="AY10" s="60">
        <f>AX10*(1/Y10)</f>
        <v>1058537081181.8613</v>
      </c>
      <c r="AZ10" s="60">
        <f>AY10*(1/AA10)</f>
        <v>1058537081181.8613</v>
      </c>
      <c r="BA10" s="60">
        <f>AZ10*(1/AC10)</f>
        <v>10585370811.818613</v>
      </c>
      <c r="BB10" s="60">
        <f>BA10*(1/AE10)</f>
        <v>10585370811.818613</v>
      </c>
      <c r="BC10" s="60">
        <f>BB10*(1/AG10)</f>
        <v>105853708.11818613</v>
      </c>
      <c r="BD10" s="60">
        <f>BC10*(1/AI10)</f>
        <v>52926854.059093066</v>
      </c>
    </row>
    <row r="11" spans="2:56" ht="15" hidden="1" customHeight="1" x14ac:dyDescent="0.25">
      <c r="B11" s="6" t="s">
        <v>23</v>
      </c>
      <c r="C11" s="23">
        <v>38088</v>
      </c>
      <c r="D11" s="23"/>
      <c r="E11" s="25">
        <v>7.6611299999999996E-5</v>
      </c>
      <c r="F11" s="25"/>
      <c r="G11" s="25" t="s">
        <v>158</v>
      </c>
      <c r="H11" s="22" t="s">
        <v>15</v>
      </c>
      <c r="I11" s="20"/>
      <c r="J11" s="15"/>
      <c r="K11" s="18"/>
      <c r="L11" s="18"/>
      <c r="M11" s="12">
        <f t="shared" si="6"/>
        <v>0</v>
      </c>
      <c r="N11" s="8"/>
      <c r="O11" s="30">
        <f t="shared" si="0"/>
        <v>1.0000000000000001E-24</v>
      </c>
      <c r="P11" s="30">
        <f t="shared" si="1"/>
        <v>13978830.671413144</v>
      </c>
      <c r="Q11" s="10">
        <f t="shared" si="2"/>
        <v>7.6611299999999984E+19</v>
      </c>
      <c r="R11" s="10">
        <f t="shared" si="3"/>
        <v>1.0709363902168336E+27</v>
      </c>
      <c r="S11" s="10">
        <f t="shared" si="4"/>
        <v>0</v>
      </c>
      <c r="T11" s="10"/>
      <c r="U11" s="10"/>
      <c r="V11" s="46"/>
      <c r="W11" s="46"/>
      <c r="X11" s="55">
        <v>0.01</v>
      </c>
      <c r="Y11" s="55"/>
      <c r="Z11" s="78">
        <v>0.999</v>
      </c>
      <c r="AA11" s="78"/>
      <c r="AB11" s="78"/>
      <c r="AC11" s="78"/>
      <c r="AD11" s="78"/>
      <c r="AE11" s="78"/>
      <c r="AF11" s="78"/>
      <c r="AG11" s="78"/>
      <c r="AH11" s="78"/>
      <c r="AI11" s="78"/>
      <c r="AJ11" s="46">
        <f>S11*X11*(1-Z11)</f>
        <v>0</v>
      </c>
      <c r="AK11" s="42"/>
      <c r="AL11" s="42"/>
      <c r="AM11" s="42"/>
    </row>
    <row r="12" spans="2:56" x14ac:dyDescent="0.25">
      <c r="B12" s="6" t="s">
        <v>21</v>
      </c>
      <c r="C12" s="23">
        <v>37087</v>
      </c>
      <c r="D12" s="23" t="s">
        <v>237</v>
      </c>
      <c r="E12" s="25">
        <v>5.6298799999999997E-5</v>
      </c>
      <c r="F12" s="25" t="s">
        <v>203</v>
      </c>
      <c r="G12" s="25" t="s">
        <v>157</v>
      </c>
      <c r="H12" s="7" t="s">
        <v>22</v>
      </c>
      <c r="I12" s="13">
        <v>1600000000</v>
      </c>
      <c r="J12" s="14"/>
      <c r="K12" s="17"/>
      <c r="L12" s="17"/>
      <c r="M12" s="12">
        <f t="shared" si="6"/>
        <v>5.04576E+16</v>
      </c>
      <c r="N12" s="12">
        <f>LN(2)/(M12)</f>
        <v>1.3737220568555487E-17</v>
      </c>
      <c r="O12" s="30">
        <f t="shared" si="0"/>
        <v>1.0000000000000001E-24</v>
      </c>
      <c r="P12" s="30">
        <f t="shared" si="1"/>
        <v>13978830.671413144</v>
      </c>
      <c r="Q12" s="10">
        <f t="shared" si="2"/>
        <v>5.6298799999999992E+19</v>
      </c>
      <c r="R12" s="10">
        <f t="shared" si="3"/>
        <v>7.8699139220375417E+26</v>
      </c>
      <c r="S12" s="57">
        <f t="shared" si="4"/>
        <v>10811074340.25753</v>
      </c>
      <c r="T12" s="58">
        <f t="shared" ref="T12:T13" si="7">S12*0.000000000027</f>
        <v>0.29189900718695333</v>
      </c>
      <c r="U12" s="74" t="str">
        <f t="shared" ref="U12:U13" si="8">D12</f>
        <v>Cs, Rb</v>
      </c>
      <c r="V12" s="107">
        <v>3.0000000000000001E-5</v>
      </c>
      <c r="W12" s="107">
        <v>8.0000000000000007E-5</v>
      </c>
      <c r="X12" s="81">
        <v>1</v>
      </c>
      <c r="Y12" s="81">
        <v>1</v>
      </c>
      <c r="Z12" s="82">
        <v>1</v>
      </c>
      <c r="AA12" s="82">
        <v>1</v>
      </c>
      <c r="AB12" s="82">
        <f>10^7</f>
        <v>10000000</v>
      </c>
      <c r="AC12" s="82">
        <f>2000000</f>
        <v>2000000</v>
      </c>
      <c r="AD12" s="82">
        <v>10</v>
      </c>
      <c r="AE12" s="82">
        <v>3</v>
      </c>
      <c r="AF12" s="114">
        <v>100</v>
      </c>
      <c r="AG12" s="114">
        <v>100</v>
      </c>
      <c r="AH12" s="82">
        <v>10</v>
      </c>
      <c r="AI12" s="82">
        <v>2</v>
      </c>
      <c r="AJ12" s="48">
        <f t="shared" ref="AJ12:AJ13" si="9">$S12*(1/X12)*(1/Z12)*(1/AB12)*(1/AD12)*(1/AF12)*(1/AH12)</f>
        <v>0.10811074340257532</v>
      </c>
      <c r="AK12" s="48">
        <f t="shared" ref="AK12:AK13" si="10">$S12*(1/Y12)*(1/AA12)*(1/AC12)*(1/AE12)*(1/AG12)*(1/AI12)</f>
        <v>9.0092286168812752</v>
      </c>
      <c r="AL12" s="48">
        <f t="shared" ref="AL12:AL13" si="11">AK12*0.000000000027</f>
        <v>2.4324917265579445E-10</v>
      </c>
      <c r="AM12" s="48" t="str">
        <f>B12</f>
        <v>Rb-87</v>
      </c>
      <c r="AO12" s="60">
        <f t="shared" ref="AO12:AO13" si="12">$S12</f>
        <v>10811074340.25753</v>
      </c>
      <c r="AP12" s="60">
        <f>$S12*(1/X12)</f>
        <v>10811074340.25753</v>
      </c>
      <c r="AQ12" s="60">
        <f>$S12*(1/X12)*(1/Z12)</f>
        <v>10811074340.25753</v>
      </c>
      <c r="AR12" s="60">
        <f>$S12*(1/X12)*(1/Z12)*(1/AB12)</f>
        <v>1081.107434025753</v>
      </c>
      <c r="AS12" s="60">
        <f>$S12*(1/X12)*(1/Z12)*(1/AB12)*(1/AD12)</f>
        <v>108.11074340257531</v>
      </c>
      <c r="AT12" s="5">
        <f>$S12*(1/X12)*(1/Z12)*(1/AB12)*(1/AD12)*(1/AF12)</f>
        <v>1.0811074340257532</v>
      </c>
      <c r="AU12" s="60">
        <f t="shared" ref="AU12:AU13" si="13">$S12*(1/X12)*(1/Z12)*(1/AB12)*(1/AD12)*(1/AF12)*(1/AH12)</f>
        <v>0.10811074340257532</v>
      </c>
      <c r="AX12" s="60">
        <f>AO12</f>
        <v>10811074340.25753</v>
      </c>
      <c r="AY12" s="60">
        <f>AX12*(1/Y12)</f>
        <v>10811074340.25753</v>
      </c>
      <c r="AZ12" s="60">
        <f>AY12*(1/AA12)</f>
        <v>10811074340.25753</v>
      </c>
      <c r="BA12" s="60">
        <f>AZ12*(1/AC12)</f>
        <v>5405.537170128765</v>
      </c>
      <c r="BB12" s="60">
        <f>BA12*(1/AE12)</f>
        <v>1801.8457233762549</v>
      </c>
      <c r="BC12" s="60">
        <f>BB12*(1/AG12)</f>
        <v>18.01845723376255</v>
      </c>
      <c r="BD12" s="60">
        <f t="shared" ref="BD12:BD13" si="14">BC12*(1/AI12)</f>
        <v>9.0092286168812752</v>
      </c>
    </row>
    <row r="13" spans="2:56" x14ac:dyDescent="0.25">
      <c r="B13" s="6" t="s">
        <v>77</v>
      </c>
      <c r="C13" s="23">
        <v>55135</v>
      </c>
      <c r="D13" s="23" t="s">
        <v>237</v>
      </c>
      <c r="E13" s="25">
        <v>2.74688E-5</v>
      </c>
      <c r="F13" s="25" t="s">
        <v>216</v>
      </c>
      <c r="G13" s="25" t="s">
        <v>169</v>
      </c>
      <c r="H13" s="7" t="s">
        <v>76</v>
      </c>
      <c r="I13" s="13">
        <v>2300000</v>
      </c>
      <c r="J13" s="14"/>
      <c r="K13" s="17"/>
      <c r="L13" s="17"/>
      <c r="M13" s="12">
        <f t="shared" si="6"/>
        <v>72532800000000</v>
      </c>
      <c r="N13" s="12">
        <f>LN(2)/(M13)</f>
        <v>9.5563273520385989E-15</v>
      </c>
      <c r="O13" s="30">
        <f t="shared" si="0"/>
        <v>1.0000000000000001E-24</v>
      </c>
      <c r="P13" s="30">
        <f t="shared" si="1"/>
        <v>13978830.671413144</v>
      </c>
      <c r="Q13" s="10">
        <f t="shared" si="2"/>
        <v>2.7468799999999996E+19</v>
      </c>
      <c r="R13" s="10">
        <f t="shared" si="3"/>
        <v>3.8398170394691332E+26</v>
      </c>
      <c r="S13" s="57">
        <f t="shared" si="4"/>
        <v>3669454860110.2754</v>
      </c>
      <c r="T13" s="58">
        <f t="shared" si="7"/>
        <v>99.075281222977438</v>
      </c>
      <c r="U13" s="74" t="str">
        <f t="shared" si="8"/>
        <v>Cs, Rb</v>
      </c>
      <c r="V13" s="107">
        <v>3.0000000000000001E-5</v>
      </c>
      <c r="W13" s="107">
        <v>8.0000000000000007E-5</v>
      </c>
      <c r="X13" s="81">
        <v>1</v>
      </c>
      <c r="Y13" s="81">
        <v>1</v>
      </c>
      <c r="Z13" s="82">
        <v>1</v>
      </c>
      <c r="AA13" s="82">
        <v>1</v>
      </c>
      <c r="AB13" s="82">
        <f>10^7</f>
        <v>10000000</v>
      </c>
      <c r="AC13" s="82">
        <f>2000000</f>
        <v>2000000</v>
      </c>
      <c r="AD13" s="82">
        <v>10</v>
      </c>
      <c r="AE13" s="82">
        <v>3</v>
      </c>
      <c r="AF13" s="114">
        <v>100</v>
      </c>
      <c r="AG13" s="114">
        <v>100</v>
      </c>
      <c r="AH13" s="82">
        <v>10</v>
      </c>
      <c r="AI13" s="82">
        <v>2</v>
      </c>
      <c r="AJ13" s="48">
        <f t="shared" si="9"/>
        <v>36.694548601102753</v>
      </c>
      <c r="AK13" s="48">
        <f t="shared" si="10"/>
        <v>3057.8790500918963</v>
      </c>
      <c r="AL13" s="48">
        <f t="shared" si="11"/>
        <v>8.2562734352481204E-8</v>
      </c>
      <c r="AM13" s="48" t="str">
        <f>B13</f>
        <v>Cs-135</v>
      </c>
      <c r="AO13" s="60">
        <f t="shared" si="12"/>
        <v>3669454860110.2754</v>
      </c>
      <c r="AP13" s="60">
        <f>$S13*(1/X13)</f>
        <v>3669454860110.2754</v>
      </c>
      <c r="AQ13" s="60">
        <f>$S13*(1/X13)*(1/Z13)</f>
        <v>3669454860110.2754</v>
      </c>
      <c r="AR13" s="60">
        <f>$S13*(1/X13)*(1/Z13)*(1/AB13)</f>
        <v>366945.48601102753</v>
      </c>
      <c r="AS13" s="60">
        <f>$S13*(1/X13)*(1/Z13)*(1/AB13)*(1/AD13)</f>
        <v>36694.548601102753</v>
      </c>
      <c r="AT13" s="5">
        <f>$S13*(1/X13)*(1/Z13)*(1/AB13)*(1/AD13)*(1/AF13)</f>
        <v>366.94548601102753</v>
      </c>
      <c r="AU13" s="60">
        <f t="shared" si="13"/>
        <v>36.694548601102753</v>
      </c>
      <c r="AX13" s="60">
        <f>AO13</f>
        <v>3669454860110.2754</v>
      </c>
      <c r="AY13" s="60">
        <f>AX13*(1/Y13)</f>
        <v>3669454860110.2754</v>
      </c>
      <c r="AZ13" s="60">
        <f>AY13*(1/AA13)</f>
        <v>3669454860110.2754</v>
      </c>
      <c r="BA13" s="60">
        <f>AZ13*(1/AC13)</f>
        <v>1834727.4300551377</v>
      </c>
      <c r="BB13" s="60">
        <f>BA13*(1/AE13)</f>
        <v>611575.81001837924</v>
      </c>
      <c r="BC13" s="60">
        <f>BB13*(1/AG13)</f>
        <v>6115.7581001837925</v>
      </c>
      <c r="BD13" s="60">
        <f t="shared" si="14"/>
        <v>3057.8790500918963</v>
      </c>
    </row>
    <row r="14" spans="2:56" ht="15" hidden="1" customHeight="1" x14ac:dyDescent="0.25">
      <c r="B14" s="6" t="s">
        <v>26</v>
      </c>
      <c r="C14" s="23">
        <v>39089</v>
      </c>
      <c r="D14" s="23"/>
      <c r="E14" s="25">
        <v>7.8584799999999993E-5</v>
      </c>
      <c r="F14" s="25"/>
      <c r="G14" s="25" t="s">
        <v>15</v>
      </c>
      <c r="H14" s="22" t="s">
        <v>15</v>
      </c>
      <c r="I14" s="20"/>
      <c r="J14" s="14"/>
      <c r="K14" s="17"/>
      <c r="L14" s="17"/>
      <c r="M14" s="12">
        <f t="shared" si="6"/>
        <v>0</v>
      </c>
      <c r="N14" s="8"/>
      <c r="O14" s="30">
        <f t="shared" si="0"/>
        <v>1.0000000000000001E-24</v>
      </c>
      <c r="P14" s="30">
        <f t="shared" si="1"/>
        <v>13978830.671413144</v>
      </c>
      <c r="Q14" s="10">
        <f t="shared" si="2"/>
        <v>7.8584799999999984E+19</v>
      </c>
      <c r="R14" s="10">
        <f t="shared" si="3"/>
        <v>1.0985236125468675E+27</v>
      </c>
      <c r="S14" s="10">
        <f t="shared" si="4"/>
        <v>0</v>
      </c>
      <c r="T14" s="10"/>
      <c r="U14" s="10"/>
      <c r="V14" s="46"/>
      <c r="W14" s="46"/>
      <c r="X14" s="55">
        <v>0.01</v>
      </c>
      <c r="Y14" s="55"/>
      <c r="Z14" s="78">
        <v>0.999</v>
      </c>
      <c r="AA14" s="78"/>
      <c r="AB14" s="78"/>
      <c r="AC14" s="78"/>
      <c r="AD14" s="78"/>
      <c r="AE14" s="78"/>
      <c r="AF14" s="78"/>
      <c r="AG14" s="78"/>
      <c r="AH14" s="78"/>
      <c r="AI14" s="78"/>
      <c r="AJ14" s="46">
        <f>S14*X14*(1-Z14)</f>
        <v>0</v>
      </c>
      <c r="AK14" s="42"/>
      <c r="AL14" s="42"/>
      <c r="AM14" s="42"/>
    </row>
    <row r="15" spans="2:56" x14ac:dyDescent="0.25">
      <c r="B15" s="6" t="s">
        <v>79</v>
      </c>
      <c r="C15" s="23">
        <v>55137</v>
      </c>
      <c r="D15" s="23" t="s">
        <v>237</v>
      </c>
      <c r="E15" s="25">
        <v>1.5686500000000001E-4</v>
      </c>
      <c r="F15" s="25" t="s">
        <v>217</v>
      </c>
      <c r="G15" s="25" t="s">
        <v>78</v>
      </c>
      <c r="H15" s="7" t="s">
        <v>78</v>
      </c>
      <c r="I15" s="13">
        <v>30.17</v>
      </c>
      <c r="J15" s="14"/>
      <c r="K15" s="17"/>
      <c r="L15" s="17"/>
      <c r="M15" s="12">
        <f t="shared" si="6"/>
        <v>951441120</v>
      </c>
      <c r="N15" s="12">
        <f>LN(2)/(M15)</f>
        <v>7.2852346402680734E-10</v>
      </c>
      <c r="O15" s="30">
        <f t="shared" si="0"/>
        <v>1.0000000000000001E-24</v>
      </c>
      <c r="P15" s="30">
        <f t="shared" si="1"/>
        <v>13978830.671413144</v>
      </c>
      <c r="Q15" s="10">
        <f t="shared" si="2"/>
        <v>1.56865E+20</v>
      </c>
      <c r="R15" s="10">
        <f t="shared" si="3"/>
        <v>2.1927892732712227E+27</v>
      </c>
      <c r="S15" s="57">
        <f t="shared" si="4"/>
        <v>1.5974984372443766E+18</v>
      </c>
      <c r="T15" s="58">
        <f>S15*0.000000000027</f>
        <v>43132457.80559817</v>
      </c>
      <c r="U15" s="74" t="str">
        <f>D15</f>
        <v>Cs, Rb</v>
      </c>
      <c r="V15" s="107">
        <v>3.0000000000000001E-5</v>
      </c>
      <c r="W15" s="107">
        <v>8.0000000000000007E-5</v>
      </c>
      <c r="X15" s="81">
        <v>1</v>
      </c>
      <c r="Y15" s="81">
        <v>1</v>
      </c>
      <c r="Z15" s="82">
        <v>1</v>
      </c>
      <c r="AA15" s="82">
        <v>1</v>
      </c>
      <c r="AB15" s="82">
        <f>10^7</f>
        <v>10000000</v>
      </c>
      <c r="AC15" s="82">
        <f>2000000</f>
        <v>2000000</v>
      </c>
      <c r="AD15" s="82">
        <v>10</v>
      </c>
      <c r="AE15" s="82">
        <v>3</v>
      </c>
      <c r="AF15" s="114">
        <v>100</v>
      </c>
      <c r="AG15" s="114">
        <v>100</v>
      </c>
      <c r="AH15" s="82">
        <v>10</v>
      </c>
      <c r="AI15" s="82">
        <v>2</v>
      </c>
      <c r="AJ15" s="48">
        <f>$S15*(1/X15)*(1/Z15)*(1/AB15)*(1/AD15)*(1/AF15)*(1/AH15)</f>
        <v>15974984.372443765</v>
      </c>
      <c r="AK15" s="48">
        <f>$S15*(1/Y15)*(1/AA15)*(1/AC15)*(1/AE15)*(1/AG15)*(1/AI15)</f>
        <v>1331248697.7036471</v>
      </c>
      <c r="AL15" s="48">
        <f>AK15*0.000000000027</f>
        <v>3.5943714837998471E-2</v>
      </c>
      <c r="AM15" s="48" t="str">
        <f>B15</f>
        <v>Cs-137</v>
      </c>
      <c r="AO15" s="60">
        <f>$S15</f>
        <v>1.5974984372443766E+18</v>
      </c>
      <c r="AP15" s="60">
        <f>$S15*(1/X15)</f>
        <v>1.5974984372443766E+18</v>
      </c>
      <c r="AQ15" s="60">
        <f>$S15*(1/X15)*(1/Z15)</f>
        <v>1.5974984372443766E+18</v>
      </c>
      <c r="AR15" s="60">
        <f>$S15*(1/X15)*(1/Z15)*(1/AB15)</f>
        <v>159749843724.43765</v>
      </c>
      <c r="AS15" s="60">
        <f>$S15*(1/X15)*(1/Z15)*(1/AB15)*(1/AD15)</f>
        <v>15974984372.443766</v>
      </c>
      <c r="AT15" s="5">
        <f>$S15*(1/X15)*(1/Z15)*(1/AB15)*(1/AD15)*(1/AF15)</f>
        <v>159749843.72443765</v>
      </c>
      <c r="AU15" s="60">
        <f>$S15*(1/X15)*(1/Z15)*(1/AB15)*(1/AD15)*(1/AF15)*(1/AH15)</f>
        <v>15974984.372443765</v>
      </c>
      <c r="AX15" s="60">
        <f>AO15</f>
        <v>1.5974984372443766E+18</v>
      </c>
      <c r="AY15" s="60">
        <f>AX15*(1/Y15)</f>
        <v>1.5974984372443766E+18</v>
      </c>
      <c r="AZ15" s="60">
        <f>AY15*(1/AA15)</f>
        <v>1.5974984372443766E+18</v>
      </c>
      <c r="BA15" s="60">
        <f>AZ15*(1/AC15)</f>
        <v>798749218622.18823</v>
      </c>
      <c r="BB15" s="60">
        <f>BA15*(1/AE15)</f>
        <v>266249739540.7294</v>
      </c>
      <c r="BC15" s="60">
        <f>BB15*(1/AG15)</f>
        <v>2662497395.4072943</v>
      </c>
      <c r="BD15" s="60">
        <f>BC15*(1/AI15)</f>
        <v>1331248697.7036471</v>
      </c>
    </row>
    <row r="16" spans="2:56" ht="15" hidden="1" customHeight="1" x14ac:dyDescent="0.25">
      <c r="B16" s="6" t="s">
        <v>29</v>
      </c>
      <c r="C16" s="23">
        <v>40091</v>
      </c>
      <c r="D16" s="23"/>
      <c r="E16" s="25">
        <v>9.3923800000000004E-5</v>
      </c>
      <c r="F16" s="25"/>
      <c r="G16" s="25" t="s">
        <v>15</v>
      </c>
      <c r="H16" s="22" t="s">
        <v>15</v>
      </c>
      <c r="I16" s="20"/>
      <c r="J16" s="14"/>
      <c r="K16" s="17"/>
      <c r="L16" s="17"/>
      <c r="M16" s="12">
        <f t="shared" si="6"/>
        <v>0</v>
      </c>
      <c r="N16" s="8"/>
      <c r="O16" s="30">
        <f t="shared" si="0"/>
        <v>1.0000000000000001E-24</v>
      </c>
      <c r="P16" s="30">
        <f t="shared" si="1"/>
        <v>13978830.671413144</v>
      </c>
      <c r="Q16" s="10">
        <f t="shared" si="2"/>
        <v>9.39238E+19</v>
      </c>
      <c r="R16" s="10">
        <f t="shared" si="3"/>
        <v>1.3129448962156738E+27</v>
      </c>
      <c r="S16" s="10">
        <f t="shared" si="4"/>
        <v>0</v>
      </c>
      <c r="T16" s="10"/>
      <c r="U16" s="10"/>
      <c r="V16" s="43"/>
      <c r="W16" s="43"/>
      <c r="X16" s="50">
        <v>0.01</v>
      </c>
      <c r="Y16" s="50"/>
      <c r="Z16" s="51">
        <v>0.999</v>
      </c>
      <c r="AA16" s="51"/>
      <c r="AB16" s="51"/>
      <c r="AC16" s="51"/>
      <c r="AD16" s="51"/>
      <c r="AE16" s="51"/>
      <c r="AF16" s="51"/>
      <c r="AG16" s="51"/>
      <c r="AH16" s="51"/>
      <c r="AI16" s="51"/>
      <c r="AJ16" s="43">
        <f>S16*X16*(1-Z16)</f>
        <v>0</v>
      </c>
      <c r="AK16" s="42"/>
      <c r="AL16" s="42"/>
      <c r="AM16" s="42"/>
    </row>
    <row r="17" spans="2:56" ht="15" hidden="1" customHeight="1" x14ac:dyDescent="0.25">
      <c r="B17" s="6" t="s">
        <v>30</v>
      </c>
      <c r="C17" s="23">
        <v>40092</v>
      </c>
      <c r="D17" s="23"/>
      <c r="E17" s="25">
        <v>1.3447599999999999E-4</v>
      </c>
      <c r="F17" s="25"/>
      <c r="G17" s="25" t="s">
        <v>15</v>
      </c>
      <c r="H17" s="22" t="s">
        <v>15</v>
      </c>
      <c r="I17" s="20"/>
      <c r="J17" s="14"/>
      <c r="K17" s="17"/>
      <c r="L17" s="17"/>
      <c r="M17" s="12">
        <f t="shared" si="6"/>
        <v>0</v>
      </c>
      <c r="N17" s="8"/>
      <c r="O17" s="30">
        <f t="shared" si="0"/>
        <v>1.0000000000000001E-24</v>
      </c>
      <c r="P17" s="30">
        <f t="shared" si="1"/>
        <v>13978830.671413144</v>
      </c>
      <c r="Q17" s="10">
        <f t="shared" si="2"/>
        <v>1.3447599999999998E+20</v>
      </c>
      <c r="R17" s="10">
        <f t="shared" si="3"/>
        <v>1.8798172333689536E+27</v>
      </c>
      <c r="S17" s="10">
        <f t="shared" si="4"/>
        <v>0</v>
      </c>
      <c r="T17" s="10"/>
      <c r="U17" s="10"/>
      <c r="V17" s="45"/>
      <c r="W17" s="45"/>
      <c r="X17" s="54">
        <v>0.01</v>
      </c>
      <c r="Y17" s="54"/>
      <c r="Z17" s="77">
        <v>0.999</v>
      </c>
      <c r="AA17" s="77"/>
      <c r="AB17" s="77"/>
      <c r="AC17" s="77"/>
      <c r="AD17" s="77"/>
      <c r="AE17" s="77"/>
      <c r="AF17" s="77"/>
      <c r="AG17" s="77"/>
      <c r="AH17" s="77"/>
      <c r="AI17" s="77"/>
      <c r="AJ17" s="45">
        <f>S17*X17*(1-Z17)</f>
        <v>0</v>
      </c>
      <c r="AK17" s="42"/>
      <c r="AL17" s="42"/>
      <c r="AM17" s="42"/>
    </row>
    <row r="18" spans="2:56" x14ac:dyDescent="0.25">
      <c r="B18" s="6" t="s">
        <v>68</v>
      </c>
      <c r="C18" s="23">
        <v>54133</v>
      </c>
      <c r="D18" s="23" t="s">
        <v>235</v>
      </c>
      <c r="E18" s="25">
        <v>5.1999400000000002E-6</v>
      </c>
      <c r="F18" s="25" t="s">
        <v>213</v>
      </c>
      <c r="G18" s="25" t="s">
        <v>167</v>
      </c>
      <c r="H18" s="6" t="s">
        <v>67</v>
      </c>
      <c r="I18" s="20"/>
      <c r="J18" s="14">
        <v>5.25</v>
      </c>
      <c r="K18" s="17"/>
      <c r="L18" s="17"/>
      <c r="M18" s="12">
        <f t="shared" si="6"/>
        <v>453600</v>
      </c>
      <c r="N18" s="12">
        <f>LN(2)/(M18)</f>
        <v>1.5281022499116959E-6</v>
      </c>
      <c r="O18" s="30">
        <f t="shared" si="0"/>
        <v>1.0000000000000001E-24</v>
      </c>
      <c r="P18" s="30">
        <f t="shared" si="1"/>
        <v>13978830.671413144</v>
      </c>
      <c r="Q18" s="10">
        <f t="shared" si="2"/>
        <v>5.19994E+18</v>
      </c>
      <c r="R18" s="10">
        <f t="shared" si="3"/>
        <v>7.2689080761508062E+25</v>
      </c>
      <c r="S18" s="57">
        <f t="shared" si="4"/>
        <v>1.1107634785567344E+20</v>
      </c>
      <c r="T18" s="58">
        <f>S18*0.000000000027</f>
        <v>2999061392.1031828</v>
      </c>
      <c r="U18" s="74" t="str">
        <f>D18</f>
        <v>Gases nobles</v>
      </c>
      <c r="V18" s="106">
        <v>3.0000000000000001E-5</v>
      </c>
      <c r="W18" s="106">
        <v>8.0000000000000007E-5</v>
      </c>
      <c r="X18" s="56">
        <v>2</v>
      </c>
      <c r="Y18" s="56">
        <v>1</v>
      </c>
      <c r="Z18" s="83">
        <v>10</v>
      </c>
      <c r="AA18" s="83">
        <v>5</v>
      </c>
      <c r="AB18" s="83">
        <v>10000000</v>
      </c>
      <c r="AC18" s="83">
        <v>2000000</v>
      </c>
      <c r="AD18" s="83">
        <v>1</v>
      </c>
      <c r="AE18" s="83">
        <v>1</v>
      </c>
      <c r="AF18" s="113">
        <v>100</v>
      </c>
      <c r="AG18" s="113">
        <v>100</v>
      </c>
      <c r="AH18" s="83">
        <v>1</v>
      </c>
      <c r="AI18" s="83">
        <v>1</v>
      </c>
      <c r="AJ18" s="48">
        <f>$S18*(1/X18)*(1/Z18)*(1/AB18)*(1/AD18)*(1/AF18)*(1/AH18)</f>
        <v>5553817392.7836723</v>
      </c>
      <c r="AK18" s="48">
        <f>$S18*(1/Y18)*(1/AA18)*(1/AC18)*(1/AE18)*(1/AG18)*(1/AI18)</f>
        <v>111076347855.67345</v>
      </c>
      <c r="AL18" s="48">
        <f>AK18*0.000000000027</f>
        <v>2.999061392103183</v>
      </c>
      <c r="AM18" s="48" t="str">
        <f>B18</f>
        <v>Xe-133</v>
      </c>
      <c r="AO18" s="60">
        <f>$S18</f>
        <v>1.1107634785567344E+20</v>
      </c>
      <c r="AP18" s="60">
        <f>$S18*(1/X18)</f>
        <v>5.5538173927836721E+19</v>
      </c>
      <c r="AQ18" s="60">
        <f>$S18*(1/X18)*(1/Z18)</f>
        <v>5.5538173927836723E+18</v>
      </c>
      <c r="AR18" s="60">
        <f>$S18*(1/X18)*(1/Z18)*(1/AB18)</f>
        <v>555381739278.36719</v>
      </c>
      <c r="AS18" s="60">
        <f>$S18*(1/X18)*(1/Z18)*(1/AB18)*(1/AD18)</f>
        <v>555381739278.36719</v>
      </c>
      <c r="AT18" s="5">
        <f>$S18*(1/X18)*(1/Z18)*(1/AB18)*(1/AD18)*(1/AF18)</f>
        <v>5553817392.7836723</v>
      </c>
      <c r="AU18" s="60">
        <f>$S18*(1/X18)*(1/Z18)*(1/AB18)*(1/AD18)*(1/AF18)*(1/AH18)</f>
        <v>5553817392.7836723</v>
      </c>
      <c r="AX18" s="60">
        <f>AO18</f>
        <v>1.1107634785567344E+20</v>
      </c>
      <c r="AY18" s="60">
        <f>AX18*(1/Y18)</f>
        <v>1.1107634785567344E+20</v>
      </c>
      <c r="AZ18" s="60">
        <f>AY18*(1/AA18)</f>
        <v>2.2215269571134689E+19</v>
      </c>
      <c r="BA18" s="60">
        <f>AZ18*(1/AC18)</f>
        <v>11107634785567.344</v>
      </c>
      <c r="BB18" s="60">
        <f>BA18*(1/AE18)</f>
        <v>11107634785567.344</v>
      </c>
      <c r="BC18" s="60">
        <f>BB18*(1/AG18)</f>
        <v>111076347855.67345</v>
      </c>
      <c r="BD18" s="60">
        <f>BC18*(1/AI18)</f>
        <v>111076347855.67345</v>
      </c>
    </row>
    <row r="19" spans="2:56" ht="15" hidden="1" customHeight="1" x14ac:dyDescent="0.25">
      <c r="B19" s="6" t="s">
        <v>33</v>
      </c>
      <c r="C19" s="23">
        <v>40094</v>
      </c>
      <c r="D19" s="23"/>
      <c r="E19" s="25">
        <v>1.5142500000000001E-4</v>
      </c>
      <c r="F19" s="25"/>
      <c r="G19" s="25" t="s">
        <v>15</v>
      </c>
      <c r="H19" s="22" t="s">
        <v>15</v>
      </c>
      <c r="I19" s="20"/>
      <c r="J19" s="14"/>
      <c r="K19" s="17"/>
      <c r="L19" s="17"/>
      <c r="M19" s="12">
        <f t="shared" si="6"/>
        <v>0</v>
      </c>
      <c r="N19" s="8"/>
      <c r="O19" s="30">
        <f t="shared" si="0"/>
        <v>1.0000000000000001E-24</v>
      </c>
      <c r="P19" s="30">
        <f t="shared" si="1"/>
        <v>13978830.671413144</v>
      </c>
      <c r="Q19" s="10">
        <f t="shared" si="2"/>
        <v>1.51425E+20</v>
      </c>
      <c r="R19" s="10">
        <f t="shared" si="3"/>
        <v>2.1167444344187352E+27</v>
      </c>
      <c r="S19" s="10">
        <f t="shared" si="4"/>
        <v>0</v>
      </c>
      <c r="T19" s="10"/>
      <c r="U19" s="10"/>
      <c r="V19" s="46"/>
      <c r="W19" s="46"/>
      <c r="X19" s="55">
        <v>0.01</v>
      </c>
      <c r="Y19" s="55"/>
      <c r="Z19" s="78">
        <v>0.999</v>
      </c>
      <c r="AA19" s="78"/>
      <c r="AB19" s="78"/>
      <c r="AC19" s="78"/>
      <c r="AD19" s="78"/>
      <c r="AE19" s="78"/>
      <c r="AF19" s="78"/>
      <c r="AG19" s="78"/>
      <c r="AH19" s="78"/>
      <c r="AI19" s="78"/>
      <c r="AJ19" s="46">
        <f>S19*X19*(1-Z19)</f>
        <v>0</v>
      </c>
      <c r="AK19" s="42"/>
      <c r="AL19" s="42"/>
      <c r="AM19" s="42"/>
    </row>
    <row r="20" spans="2:56" x14ac:dyDescent="0.25">
      <c r="B20" s="6" t="s">
        <v>71</v>
      </c>
      <c r="C20" s="23">
        <v>54135</v>
      </c>
      <c r="D20" s="23" t="s">
        <v>235</v>
      </c>
      <c r="E20" s="25">
        <v>5.2926199999999998E-8</v>
      </c>
      <c r="F20" s="25" t="s">
        <v>214</v>
      </c>
      <c r="G20" s="25" t="s">
        <v>70</v>
      </c>
      <c r="H20" s="7" t="s">
        <v>70</v>
      </c>
      <c r="I20" s="13"/>
      <c r="J20" s="14"/>
      <c r="K20" s="17">
        <v>9.14</v>
      </c>
      <c r="L20" s="17"/>
      <c r="M20" s="12">
        <f t="shared" si="6"/>
        <v>32904</v>
      </c>
      <c r="N20" s="12">
        <f>LN(2)/(M20)</f>
        <v>2.1065742176025568E-5</v>
      </c>
      <c r="O20" s="30">
        <f t="shared" si="0"/>
        <v>1.0000000000000001E-24</v>
      </c>
      <c r="P20" s="30">
        <f t="shared" si="1"/>
        <v>13978830.671413144</v>
      </c>
      <c r="Q20" s="10">
        <f t="shared" si="2"/>
        <v>5.2926199999999992E+16</v>
      </c>
      <c r="R20" s="10">
        <f t="shared" si="3"/>
        <v>7.3984638788134627E+23</v>
      </c>
      <c r="S20" s="57">
        <f t="shared" si="4"/>
        <v>1.5585413256972247E+19</v>
      </c>
      <c r="T20" s="58">
        <f>S20*0.000000000027</f>
        <v>420806157.93825066</v>
      </c>
      <c r="U20" s="74" t="str">
        <f>D20</f>
        <v>Gases nobles</v>
      </c>
      <c r="V20" s="106">
        <v>3.0000000000000001E-5</v>
      </c>
      <c r="W20" s="106">
        <v>8.0000000000000007E-5</v>
      </c>
      <c r="X20" s="56">
        <v>2</v>
      </c>
      <c r="Y20" s="56">
        <v>1</v>
      </c>
      <c r="Z20" s="83">
        <v>10</v>
      </c>
      <c r="AA20" s="83">
        <v>5</v>
      </c>
      <c r="AB20" s="83">
        <v>10000000</v>
      </c>
      <c r="AC20" s="83">
        <v>2000000</v>
      </c>
      <c r="AD20" s="83">
        <v>1</v>
      </c>
      <c r="AE20" s="83">
        <v>1</v>
      </c>
      <c r="AF20" s="113">
        <v>100</v>
      </c>
      <c r="AG20" s="113">
        <v>100</v>
      </c>
      <c r="AH20" s="83">
        <v>1</v>
      </c>
      <c r="AI20" s="83">
        <v>1</v>
      </c>
      <c r="AJ20" s="48">
        <f>$S20*(1/X20)*(1/Z20)*(1/AB20)*(1/AD20)*(1/AF20)*(1/AH20)</f>
        <v>779270662.84861243</v>
      </c>
      <c r="AK20" s="48">
        <f>$S20*(1/Y20)*(1/AA20)*(1/AC20)*(1/AE20)*(1/AG20)*(1/AI20)</f>
        <v>15585413256.972246</v>
      </c>
      <c r="AL20" s="48">
        <f>AK20*0.000000000027</f>
        <v>0.42080615793825066</v>
      </c>
      <c r="AM20" s="48" t="str">
        <f>B20</f>
        <v>Xe-135</v>
      </c>
      <c r="AO20" s="60">
        <f>$S20</f>
        <v>1.5585413256972247E+19</v>
      </c>
      <c r="AP20" s="60">
        <f>$S20*(1/X20)</f>
        <v>7.7927066284861235E+18</v>
      </c>
      <c r="AQ20" s="60">
        <f>$S20*(1/X20)*(1/Z20)</f>
        <v>7.7927066284861235E+17</v>
      </c>
      <c r="AR20" s="60">
        <f>$S20*(1/X20)*(1/Z20)*(1/AB20)</f>
        <v>77927066284.861237</v>
      </c>
      <c r="AS20" s="60">
        <f>$S20*(1/X20)*(1/Z20)*(1/AB20)*(1/AD20)</f>
        <v>77927066284.861237</v>
      </c>
      <c r="AT20" s="5">
        <f>$S20*(1/X20)*(1/Z20)*(1/AB20)*(1/AD20)*(1/AF20)</f>
        <v>779270662.84861243</v>
      </c>
      <c r="AU20" s="60">
        <f>$S20*(1/X20)*(1/Z20)*(1/AB20)*(1/AD20)*(1/AF20)*(1/AH20)</f>
        <v>779270662.84861243</v>
      </c>
      <c r="AX20" s="60">
        <f>AO20</f>
        <v>1.5585413256972247E+19</v>
      </c>
      <c r="AY20" s="60">
        <f>AX20*(1/Y20)</f>
        <v>1.5585413256972247E+19</v>
      </c>
      <c r="AZ20" s="60">
        <f>AY20*(1/AA20)</f>
        <v>3.1170826513944494E+18</v>
      </c>
      <c r="BA20" s="60">
        <f>AZ20*(1/AC20)</f>
        <v>1558541325697.2246</v>
      </c>
      <c r="BB20" s="60">
        <f>BA20*(1/AE20)</f>
        <v>1558541325697.2246</v>
      </c>
      <c r="BC20" s="60">
        <f>BB20*(1/AG20)</f>
        <v>15585413256.972246</v>
      </c>
      <c r="BD20" s="60">
        <f>BC20*(1/AI20)</f>
        <v>15585413256.972246</v>
      </c>
    </row>
    <row r="21" spans="2:56" ht="15.75" hidden="1" customHeight="1" x14ac:dyDescent="0.25">
      <c r="B21" s="6" t="s">
        <v>36</v>
      </c>
      <c r="C21" s="23">
        <v>40096</v>
      </c>
      <c r="D21" s="23"/>
      <c r="E21" s="25">
        <v>1.5123599999999999E-4</v>
      </c>
      <c r="F21" s="25"/>
      <c r="G21" s="25" t="s">
        <v>15</v>
      </c>
      <c r="H21" s="22" t="s">
        <v>15</v>
      </c>
      <c r="I21" s="20"/>
      <c r="J21" s="14"/>
      <c r="K21" s="17"/>
      <c r="L21" s="17"/>
      <c r="M21" s="12">
        <f t="shared" si="6"/>
        <v>0</v>
      </c>
      <c r="N21" s="8"/>
      <c r="O21" s="30">
        <f t="shared" si="0"/>
        <v>1.0000000000000001E-24</v>
      </c>
      <c r="P21" s="30">
        <f t="shared" si="1"/>
        <v>13978830.671413144</v>
      </c>
      <c r="Q21" s="10">
        <f t="shared" si="2"/>
        <v>1.5123599999999997E+20</v>
      </c>
      <c r="R21" s="10">
        <f t="shared" si="3"/>
        <v>2.1141024354218379E+27</v>
      </c>
      <c r="S21" s="10">
        <f t="shared" si="4"/>
        <v>0</v>
      </c>
      <c r="T21" s="10"/>
      <c r="U21" s="10"/>
      <c r="V21" s="46"/>
      <c r="W21" s="46"/>
      <c r="X21" s="55">
        <v>0.01</v>
      </c>
      <c r="Y21" s="55"/>
      <c r="Z21" s="78">
        <v>0.999</v>
      </c>
      <c r="AA21" s="78"/>
      <c r="AB21" s="78"/>
      <c r="AC21" s="78"/>
      <c r="AD21" s="78"/>
      <c r="AE21" s="78"/>
      <c r="AF21" s="78"/>
      <c r="AG21" s="78"/>
      <c r="AH21" s="78"/>
      <c r="AI21" s="78"/>
      <c r="AJ21" s="46">
        <f>S21*X21*(1-Z21)</f>
        <v>0</v>
      </c>
      <c r="AK21" s="42"/>
      <c r="AL21" s="42"/>
      <c r="AM21" s="42"/>
    </row>
    <row r="22" spans="2:56" ht="15.75" customHeight="1" x14ac:dyDescent="0.25">
      <c r="B22" s="6" t="s">
        <v>64</v>
      </c>
      <c r="C22" s="23">
        <v>53129</v>
      </c>
      <c r="D22" s="23" t="s">
        <v>236</v>
      </c>
      <c r="E22" s="25">
        <v>1.7419599999999998E-5</v>
      </c>
      <c r="F22" s="25" t="s">
        <v>212</v>
      </c>
      <c r="G22" s="25" t="s">
        <v>166</v>
      </c>
      <c r="H22" s="7" t="s">
        <v>63</v>
      </c>
      <c r="I22" s="13">
        <v>15700000</v>
      </c>
      <c r="J22" s="14"/>
      <c r="K22" s="17"/>
      <c r="L22" s="17"/>
      <c r="M22" s="12">
        <f t="shared" si="6"/>
        <v>495115200000000</v>
      </c>
      <c r="N22" s="12">
        <f>LN(2)/(M22)</f>
        <v>1.3999715229101133E-15</v>
      </c>
      <c r="O22" s="30">
        <f t="shared" si="0"/>
        <v>1.0000000000000001E-24</v>
      </c>
      <c r="P22" s="30">
        <f t="shared" si="1"/>
        <v>13978830.671413144</v>
      </c>
      <c r="Q22" s="10">
        <f t="shared" si="2"/>
        <v>1.7419599999999996E+19</v>
      </c>
      <c r="R22" s="10">
        <f t="shared" si="3"/>
        <v>2.4350563876374834E+26</v>
      </c>
      <c r="S22" s="57">
        <f t="shared" si="4"/>
        <v>340900959937.28467</v>
      </c>
      <c r="T22" s="58">
        <f>S22*0.000000000027</f>
        <v>9.2043259183066866</v>
      </c>
      <c r="U22" s="74" t="str">
        <f>D22</f>
        <v>I, Br, Se, Te</v>
      </c>
      <c r="V22" s="107">
        <v>3.0000000000000001E-5</v>
      </c>
      <c r="W22" s="107">
        <v>8.0000000000000007E-5</v>
      </c>
      <c r="X22" s="81">
        <v>2</v>
      </c>
      <c r="Y22" s="81">
        <v>1</v>
      </c>
      <c r="Z22" s="82">
        <v>10</v>
      </c>
      <c r="AA22" s="82">
        <v>5</v>
      </c>
      <c r="AB22" s="82">
        <f>10^7</f>
        <v>10000000</v>
      </c>
      <c r="AC22" s="82">
        <f>2000000</f>
        <v>2000000</v>
      </c>
      <c r="AD22" s="82">
        <v>1</v>
      </c>
      <c r="AE22" s="82">
        <v>1</v>
      </c>
      <c r="AF22" s="114">
        <v>100</v>
      </c>
      <c r="AG22" s="114">
        <v>100</v>
      </c>
      <c r="AH22" s="82">
        <v>10</v>
      </c>
      <c r="AI22" s="82">
        <v>2</v>
      </c>
      <c r="AJ22" s="48">
        <f>$S22*(1/X22)*(1/Z22)*(1/AB22)*(1/AD22)*(1/AF22)*(1/AH22)</f>
        <v>1.7045047996864235</v>
      </c>
      <c r="AK22" s="48">
        <f>$S22*(1/Y22)*(1/AA22)*(1/AC22)*(1/AE22)*(1/AG22)*(1/AI22)</f>
        <v>170.45047996864236</v>
      </c>
      <c r="AL22" s="48">
        <f>AK22*0.000000000027</f>
        <v>4.6021629591533435E-9</v>
      </c>
      <c r="AM22" s="48" t="str">
        <f>B22</f>
        <v>I-129</v>
      </c>
      <c r="AO22" s="60">
        <f>$S22</f>
        <v>340900959937.28467</v>
      </c>
      <c r="AP22" s="60">
        <f>$S22*(1/X22)</f>
        <v>170450479968.64233</v>
      </c>
      <c r="AQ22" s="60">
        <f>$S22*(1/X22)*(1/Z22)</f>
        <v>17045047996.864235</v>
      </c>
      <c r="AR22" s="60">
        <f>$S22*(1/X22)*(1/Z22)*(1/AB22)</f>
        <v>1704.5047996864234</v>
      </c>
      <c r="AS22" s="60">
        <f>$S22*(1/X22)*(1/Z22)*(1/AB22)*(1/AD22)</f>
        <v>1704.5047996864234</v>
      </c>
      <c r="AT22" s="5">
        <f>$S22*(1/X22)*(1/Z22)*(1/AB22)*(1/AD22)*(1/AF22)</f>
        <v>17.045047996864234</v>
      </c>
      <c r="AU22" s="60">
        <f>$S22*(1/X22)*(1/Z22)*(1/AB22)*(1/AD22)*(1/AF22)*(1/AH22)</f>
        <v>1.7045047996864235</v>
      </c>
      <c r="AX22" s="60">
        <f>AO22</f>
        <v>340900959937.28467</v>
      </c>
      <c r="AY22" s="60">
        <f>AX22*(1/Y22)</f>
        <v>340900959937.28467</v>
      </c>
      <c r="AZ22" s="60">
        <f>AY22*(1/AA22)</f>
        <v>68180191987.45694</v>
      </c>
      <c r="BA22" s="60">
        <f>AZ22*(1/AC22)</f>
        <v>34090.095993728472</v>
      </c>
      <c r="BB22" s="60">
        <f>BA22*(1/AE22)</f>
        <v>34090.095993728472</v>
      </c>
      <c r="BC22" s="60">
        <f>BB22*(1/AG22)</f>
        <v>340.90095993728471</v>
      </c>
      <c r="BD22" s="60">
        <f>BC22*(1/AI22)</f>
        <v>170.45047996864236</v>
      </c>
    </row>
    <row r="23" spans="2:56" ht="15.75" hidden="1" customHeight="1" x14ac:dyDescent="0.25">
      <c r="B23" s="6" t="s">
        <v>39</v>
      </c>
      <c r="C23" s="23">
        <v>42095</v>
      </c>
      <c r="D23" s="23"/>
      <c r="E23" s="25">
        <v>8.5598800000000005E-5</v>
      </c>
      <c r="F23" s="25"/>
      <c r="G23" s="25" t="s">
        <v>15</v>
      </c>
      <c r="H23" s="22" t="s">
        <v>15</v>
      </c>
      <c r="I23" s="20"/>
      <c r="J23" s="14"/>
      <c r="K23" s="17"/>
      <c r="L23" s="17"/>
      <c r="M23" s="12">
        <f t="shared" si="6"/>
        <v>0</v>
      </c>
      <c r="N23" s="8"/>
      <c r="O23" s="30">
        <f t="shared" si="0"/>
        <v>1.0000000000000001E-24</v>
      </c>
      <c r="P23" s="30">
        <f t="shared" si="1"/>
        <v>13978830.671413144</v>
      </c>
      <c r="Q23" s="10">
        <f t="shared" si="2"/>
        <v>8.55988E+19</v>
      </c>
      <c r="R23" s="10">
        <f t="shared" si="3"/>
        <v>1.1965711308761595E+27</v>
      </c>
      <c r="S23" s="10">
        <f t="shared" si="4"/>
        <v>0</v>
      </c>
      <c r="T23" s="10"/>
      <c r="U23" s="10"/>
      <c r="V23" s="43"/>
      <c r="W23" s="43"/>
      <c r="X23" s="50">
        <v>0.01</v>
      </c>
      <c r="Y23" s="50"/>
      <c r="Z23" s="51">
        <v>0.999</v>
      </c>
      <c r="AA23" s="51"/>
      <c r="AB23" s="51"/>
      <c r="AC23" s="51"/>
      <c r="AD23" s="51"/>
      <c r="AE23" s="51"/>
      <c r="AF23" s="51"/>
      <c r="AG23" s="51"/>
      <c r="AH23" s="51"/>
      <c r="AI23" s="51"/>
      <c r="AJ23" s="43">
        <f>S23*X23*(1-Z23)</f>
        <v>0</v>
      </c>
      <c r="AK23" s="42"/>
      <c r="AL23" s="42"/>
      <c r="AM23" s="42"/>
    </row>
    <row r="24" spans="2:56" ht="15.75" hidden="1" customHeight="1" x14ac:dyDescent="0.25">
      <c r="B24" s="6" t="s">
        <v>40</v>
      </c>
      <c r="C24" s="23">
        <v>42097</v>
      </c>
      <c r="D24" s="23"/>
      <c r="E24" s="25">
        <v>1.08613E-4</v>
      </c>
      <c r="F24" s="25"/>
      <c r="G24" s="25" t="s">
        <v>15</v>
      </c>
      <c r="H24" s="22" t="s">
        <v>15</v>
      </c>
      <c r="I24" s="20"/>
      <c r="J24" s="14"/>
      <c r="K24" s="17"/>
      <c r="L24" s="17"/>
      <c r="M24" s="12">
        <f t="shared" si="6"/>
        <v>0</v>
      </c>
      <c r="N24" s="8"/>
      <c r="O24" s="30">
        <f t="shared" si="0"/>
        <v>1.0000000000000001E-24</v>
      </c>
      <c r="P24" s="30">
        <f t="shared" si="1"/>
        <v>13978830.671413144</v>
      </c>
      <c r="Q24" s="10">
        <f t="shared" si="2"/>
        <v>1.0861299999999998E+20</v>
      </c>
      <c r="R24" s="10">
        <f t="shared" si="3"/>
        <v>1.5182827357141957E+27</v>
      </c>
      <c r="S24" s="10">
        <f t="shared" si="4"/>
        <v>0</v>
      </c>
      <c r="T24" s="10"/>
      <c r="U24" s="10"/>
      <c r="V24" s="10"/>
      <c r="W24" s="10"/>
      <c r="X24" s="9">
        <v>0.01</v>
      </c>
      <c r="Y24" s="9"/>
      <c r="Z24" s="11">
        <v>0.999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0">
        <f>S24*X24*(1-Z24)</f>
        <v>0</v>
      </c>
      <c r="AK24" s="42"/>
      <c r="AL24" s="42"/>
      <c r="AM24" s="42"/>
    </row>
    <row r="25" spans="2:56" ht="15.75" hidden="1" customHeight="1" x14ac:dyDescent="0.25">
      <c r="B25" s="6" t="s">
        <v>41</v>
      </c>
      <c r="C25" s="23">
        <v>42098</v>
      </c>
      <c r="D25" s="23"/>
      <c r="E25" s="25">
        <v>1.4538600000000001E-4</v>
      </c>
      <c r="F25" s="25"/>
      <c r="G25" s="25" t="s">
        <v>15</v>
      </c>
      <c r="H25" s="22" t="s">
        <v>15</v>
      </c>
      <c r="I25" s="20"/>
      <c r="J25" s="14"/>
      <c r="K25" s="17"/>
      <c r="L25" s="17"/>
      <c r="M25" s="12">
        <f t="shared" si="6"/>
        <v>0</v>
      </c>
      <c r="N25" s="8"/>
      <c r="O25" s="30">
        <f t="shared" si="0"/>
        <v>1.0000000000000001E-24</v>
      </c>
      <c r="P25" s="30">
        <f t="shared" si="1"/>
        <v>13978830.671413144</v>
      </c>
      <c r="Q25" s="10">
        <f t="shared" si="2"/>
        <v>1.4538599999999998E+20</v>
      </c>
      <c r="R25" s="10">
        <f t="shared" si="3"/>
        <v>2.0323262759940711E+27</v>
      </c>
      <c r="S25" s="10">
        <f t="shared" si="4"/>
        <v>0</v>
      </c>
      <c r="T25" s="10"/>
      <c r="U25" s="10"/>
      <c r="V25" s="10"/>
      <c r="W25" s="10"/>
      <c r="X25" s="9">
        <v>0.01</v>
      </c>
      <c r="Y25" s="9"/>
      <c r="Z25" s="11">
        <v>0.999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0">
        <f>S25*X25*(1-Z25)</f>
        <v>0</v>
      </c>
      <c r="AK25" s="42"/>
      <c r="AL25" s="42"/>
      <c r="AM25" s="42"/>
    </row>
    <row r="26" spans="2:56" ht="15.75" hidden="1" customHeight="1" x14ac:dyDescent="0.25">
      <c r="B26" s="6" t="s">
        <v>42</v>
      </c>
      <c r="C26" s="23">
        <v>42100</v>
      </c>
      <c r="D26" s="23"/>
      <c r="E26" s="25">
        <v>1.6096900000000001E-4</v>
      </c>
      <c r="F26" s="25"/>
      <c r="G26" s="25" t="s">
        <v>15</v>
      </c>
      <c r="H26" s="22" t="s">
        <v>15</v>
      </c>
      <c r="I26" s="20"/>
      <c r="J26" s="14"/>
      <c r="K26" s="17"/>
      <c r="L26" s="17"/>
      <c r="M26" s="12">
        <f t="shared" si="6"/>
        <v>0</v>
      </c>
      <c r="N26" s="8"/>
      <c r="O26" s="30">
        <f t="shared" si="0"/>
        <v>1.0000000000000001E-24</v>
      </c>
      <c r="P26" s="30">
        <f t="shared" si="1"/>
        <v>13978830.671413144</v>
      </c>
      <c r="Q26" s="10">
        <f t="shared" si="2"/>
        <v>1.60969E+20</v>
      </c>
      <c r="R26" s="10">
        <f t="shared" si="3"/>
        <v>2.2501583943467025E+27</v>
      </c>
      <c r="S26" s="10">
        <f t="shared" si="4"/>
        <v>0</v>
      </c>
      <c r="T26" s="10"/>
      <c r="U26" s="10"/>
      <c r="V26" s="45"/>
      <c r="W26" s="45"/>
      <c r="X26" s="54">
        <v>0.01</v>
      </c>
      <c r="Y26" s="54"/>
      <c r="Z26" s="77">
        <v>0.999</v>
      </c>
      <c r="AA26" s="77"/>
      <c r="AB26" s="77"/>
      <c r="AC26" s="77"/>
      <c r="AD26" s="77"/>
      <c r="AE26" s="77"/>
      <c r="AF26" s="77"/>
      <c r="AG26" s="77"/>
      <c r="AH26" s="77"/>
      <c r="AI26" s="77"/>
      <c r="AJ26" s="45">
        <f>S26*X26*(1-Z26)</f>
        <v>0</v>
      </c>
      <c r="AK26" s="42"/>
      <c r="AL26" s="42"/>
      <c r="AM26" s="42"/>
    </row>
    <row r="27" spans="2:56" ht="15.75" customHeight="1" x14ac:dyDescent="0.25">
      <c r="B27" s="6" t="s">
        <v>43</v>
      </c>
      <c r="C27" s="23">
        <v>43099</v>
      </c>
      <c r="D27" s="23" t="s">
        <v>241</v>
      </c>
      <c r="E27" s="25">
        <v>1.3573799999999999E-4</v>
      </c>
      <c r="F27" s="25" t="s">
        <v>209</v>
      </c>
      <c r="G27" s="25" t="s">
        <v>163</v>
      </c>
      <c r="H27" s="7" t="s">
        <v>44</v>
      </c>
      <c r="I27" s="13">
        <v>213000</v>
      </c>
      <c r="J27" s="14"/>
      <c r="K27" s="17"/>
      <c r="L27" s="17"/>
      <c r="M27" s="12">
        <f t="shared" si="6"/>
        <v>6717168000000</v>
      </c>
      <c r="N27" s="12">
        <f>LN(2)/(M27)</f>
        <v>1.0319038924736516E-13</v>
      </c>
      <c r="O27" s="30">
        <f t="shared" si="0"/>
        <v>1.0000000000000001E-24</v>
      </c>
      <c r="P27" s="30">
        <f t="shared" si="1"/>
        <v>13978830.671413144</v>
      </c>
      <c r="Q27" s="10">
        <f t="shared" si="2"/>
        <v>1.3573799999999998E+20</v>
      </c>
      <c r="R27" s="10">
        <f t="shared" si="3"/>
        <v>1.8974585176762772E+27</v>
      </c>
      <c r="S27" s="57">
        <f t="shared" si="4"/>
        <v>195799483019743.56</v>
      </c>
      <c r="T27" s="58">
        <f>S27*0.000000000027</f>
        <v>5286.5860415330762</v>
      </c>
      <c r="U27" s="74" t="str">
        <f>D27</f>
        <v>Mo, Ru, Rh, Tc</v>
      </c>
      <c r="V27" s="106">
        <v>3.0000000000000001E-5</v>
      </c>
      <c r="W27" s="106">
        <v>8.0000000000000007E-5</v>
      </c>
      <c r="X27" s="56">
        <v>1</v>
      </c>
      <c r="Y27" s="56">
        <v>1</v>
      </c>
      <c r="Z27" s="83">
        <v>100</v>
      </c>
      <c r="AA27" s="83">
        <v>50</v>
      </c>
      <c r="AB27" s="83">
        <f>10^7</f>
        <v>10000000</v>
      </c>
      <c r="AC27" s="83">
        <f>2000000</f>
        <v>2000000</v>
      </c>
      <c r="AD27" s="83">
        <v>10</v>
      </c>
      <c r="AE27" s="83">
        <v>3</v>
      </c>
      <c r="AF27" s="113">
        <v>100</v>
      </c>
      <c r="AG27" s="113">
        <v>100</v>
      </c>
      <c r="AH27" s="83">
        <v>10</v>
      </c>
      <c r="AI27" s="83">
        <v>2</v>
      </c>
      <c r="AJ27" s="48">
        <f>$S27*(1/X27)*(1/Z27)*(1/AB27)*(1/AD27)*(1/AF27)*(1/AH27)</f>
        <v>19.579948301974358</v>
      </c>
      <c r="AK27" s="48">
        <f>$S27*(1/Y27)*(1/AA27)*(1/AC27)*(1/AE27)*(1/AG27)*(1/AI27)</f>
        <v>3263.3247169957258</v>
      </c>
      <c r="AL27" s="48">
        <f>AK27*0.000000000027</f>
        <v>8.8109767358884592E-8</v>
      </c>
      <c r="AM27" s="48" t="str">
        <f>B27</f>
        <v>Tc-99</v>
      </c>
      <c r="AO27" s="60">
        <f>$S27</f>
        <v>195799483019743.56</v>
      </c>
      <c r="AP27" s="60">
        <f>$S27*(1/X27)</f>
        <v>195799483019743.56</v>
      </c>
      <c r="AQ27" s="60">
        <f>$S27*(1/X27)*(1/Z27)</f>
        <v>1957994830197.4355</v>
      </c>
      <c r="AR27" s="60">
        <f>$S27*(1/X27)*(1/Z27)*(1/AB27)</f>
        <v>195799.48301974355</v>
      </c>
      <c r="AS27" s="60">
        <f>$S27*(1/X27)*(1/Z27)*(1/AB27)*(1/AD27)</f>
        <v>19579.948301974357</v>
      </c>
      <c r="AT27" s="5">
        <f>$S27*(1/X27)*(1/Z27)*(1/AB27)*(1/AD27)*(1/AF27)</f>
        <v>195.79948301974358</v>
      </c>
      <c r="AU27" s="60">
        <f>$S27*(1/X27)*(1/Z27)*(1/AB27)*(1/AD27)*(1/AF27)*(1/AH27)</f>
        <v>19.579948301974358</v>
      </c>
      <c r="AX27" s="60">
        <f>AO27</f>
        <v>195799483019743.56</v>
      </c>
      <c r="AY27" s="60">
        <f>AX27*(1/Y27)</f>
        <v>195799483019743.56</v>
      </c>
      <c r="AZ27" s="60">
        <f>AY27*(1/AA27)</f>
        <v>3915989660394.8711</v>
      </c>
      <c r="BA27" s="60">
        <f>AZ27*(1/AC27)</f>
        <v>1957994.8301974356</v>
      </c>
      <c r="BB27" s="60">
        <f>BA27*(1/AE27)</f>
        <v>652664.94339914515</v>
      </c>
      <c r="BC27" s="60">
        <f>BB27*(1/AG27)</f>
        <v>6526.6494339914516</v>
      </c>
      <c r="BD27" s="60">
        <f>BC27*(1/AI27)</f>
        <v>3263.3247169957258</v>
      </c>
    </row>
    <row r="28" spans="2:56" ht="15.75" hidden="1" customHeight="1" x14ac:dyDescent="0.25">
      <c r="B28" s="6" t="s">
        <v>45</v>
      </c>
      <c r="C28" s="23">
        <v>44100</v>
      </c>
      <c r="D28" s="23"/>
      <c r="E28" s="25">
        <v>1.6340600000000001E-5</v>
      </c>
      <c r="F28" s="25"/>
      <c r="G28" s="25" t="s">
        <v>15</v>
      </c>
      <c r="H28" s="22" t="s">
        <v>15</v>
      </c>
      <c r="I28" s="20"/>
      <c r="J28" s="14"/>
      <c r="K28" s="17"/>
      <c r="L28" s="17"/>
      <c r="M28" s="12">
        <f t="shared" si="6"/>
        <v>0</v>
      </c>
      <c r="N28" s="8"/>
      <c r="O28" s="30">
        <f t="shared" si="0"/>
        <v>1.0000000000000001E-24</v>
      </c>
      <c r="P28" s="30">
        <f t="shared" si="1"/>
        <v>13978830.671413144</v>
      </c>
      <c r="Q28" s="10">
        <f t="shared" si="2"/>
        <v>1.6340599999999998E+19</v>
      </c>
      <c r="R28" s="10">
        <f t="shared" si="3"/>
        <v>2.2842248046929358E+26</v>
      </c>
      <c r="S28" s="10">
        <f t="shared" si="4"/>
        <v>0</v>
      </c>
      <c r="T28" s="10"/>
      <c r="U28" s="10"/>
      <c r="V28" s="43"/>
      <c r="W28" s="43"/>
      <c r="X28" s="50">
        <v>0.01</v>
      </c>
      <c r="Y28" s="50"/>
      <c r="Z28" s="51">
        <v>0.999</v>
      </c>
      <c r="AA28" s="51"/>
      <c r="AB28" s="51"/>
      <c r="AC28" s="51"/>
      <c r="AD28" s="51"/>
      <c r="AE28" s="51"/>
      <c r="AF28" s="51"/>
      <c r="AG28" s="51"/>
      <c r="AH28" s="51"/>
      <c r="AI28" s="51"/>
      <c r="AJ28" s="43">
        <f>S28*X28*(1-Z28)</f>
        <v>0</v>
      </c>
      <c r="AK28" s="42"/>
      <c r="AL28" s="42"/>
      <c r="AM28" s="42"/>
    </row>
    <row r="29" spans="2:56" ht="15.75" hidden="1" customHeight="1" x14ac:dyDescent="0.25">
      <c r="B29" s="6" t="s">
        <v>46</v>
      </c>
      <c r="C29" s="23">
        <v>44101</v>
      </c>
      <c r="D29" s="23"/>
      <c r="E29" s="25">
        <v>1.30448E-4</v>
      </c>
      <c r="F29" s="25"/>
      <c r="G29" s="25" t="s">
        <v>15</v>
      </c>
      <c r="H29" s="22" t="s">
        <v>15</v>
      </c>
      <c r="I29" s="20"/>
      <c r="J29" s="14"/>
      <c r="K29" s="17"/>
      <c r="L29" s="17"/>
      <c r="M29" s="12">
        <f t="shared" si="6"/>
        <v>0</v>
      </c>
      <c r="N29" s="8"/>
      <c r="O29" s="30">
        <f t="shared" si="0"/>
        <v>1.0000000000000001E-24</v>
      </c>
      <c r="P29" s="30">
        <f t="shared" si="1"/>
        <v>13978830.671413144</v>
      </c>
      <c r="Q29" s="10">
        <f t="shared" si="2"/>
        <v>1.3044799999999998E+20</v>
      </c>
      <c r="R29" s="10">
        <f t="shared" si="3"/>
        <v>1.8235105034245015E+27</v>
      </c>
      <c r="S29" s="10">
        <f t="shared" si="4"/>
        <v>0</v>
      </c>
      <c r="T29" s="10"/>
      <c r="U29" s="10"/>
      <c r="V29" s="10"/>
      <c r="W29" s="10"/>
      <c r="X29" s="9">
        <v>0.01</v>
      </c>
      <c r="Y29" s="9"/>
      <c r="Z29" s="11">
        <v>0.999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0">
        <f>S29*X29*(1-Z29)</f>
        <v>0</v>
      </c>
      <c r="AK29" s="42"/>
      <c r="AL29" s="42"/>
      <c r="AM29" s="42"/>
    </row>
    <row r="30" spans="2:56" ht="15.75" hidden="1" customHeight="1" x14ac:dyDescent="0.25">
      <c r="B30" s="6" t="s">
        <v>47</v>
      </c>
      <c r="C30" s="23">
        <v>44102</v>
      </c>
      <c r="D30" s="23"/>
      <c r="E30" s="25">
        <v>1.2452399999999999E-4</v>
      </c>
      <c r="F30" s="25"/>
      <c r="G30" s="25" t="s">
        <v>15</v>
      </c>
      <c r="H30" s="22" t="s">
        <v>15</v>
      </c>
      <c r="I30" s="20"/>
      <c r="J30" s="14"/>
      <c r="K30" s="17"/>
      <c r="L30" s="17"/>
      <c r="M30" s="12">
        <f t="shared" si="6"/>
        <v>0</v>
      </c>
      <c r="N30" s="8"/>
      <c r="O30" s="30">
        <f t="shared" si="0"/>
        <v>1.0000000000000001E-24</v>
      </c>
      <c r="P30" s="30">
        <f t="shared" si="1"/>
        <v>13978830.671413144</v>
      </c>
      <c r="Q30" s="10">
        <f t="shared" si="2"/>
        <v>1.2452399999999998E+20</v>
      </c>
      <c r="R30" s="10">
        <f t="shared" si="3"/>
        <v>1.74069991052705E+27</v>
      </c>
      <c r="S30" s="10">
        <f t="shared" si="4"/>
        <v>0</v>
      </c>
      <c r="T30" s="10"/>
      <c r="U30" s="10"/>
      <c r="V30" s="45"/>
      <c r="W30" s="45"/>
      <c r="X30" s="54">
        <v>0.01</v>
      </c>
      <c r="Y30" s="54"/>
      <c r="Z30" s="77">
        <v>0.999</v>
      </c>
      <c r="AA30" s="77"/>
      <c r="AB30" s="77"/>
      <c r="AC30" s="77"/>
      <c r="AD30" s="77"/>
      <c r="AE30" s="77"/>
      <c r="AF30" s="77"/>
      <c r="AG30" s="77"/>
      <c r="AH30" s="77"/>
      <c r="AI30" s="77"/>
      <c r="AJ30" s="45">
        <f>S30*X30*(1-Z30)</f>
        <v>0</v>
      </c>
      <c r="AK30" s="42"/>
      <c r="AL30" s="42"/>
      <c r="AM30" s="42"/>
    </row>
    <row r="31" spans="2:56" ht="15.75" customHeight="1" x14ac:dyDescent="0.25">
      <c r="B31" s="6" t="s">
        <v>48</v>
      </c>
      <c r="C31" s="23">
        <v>44103</v>
      </c>
      <c r="D31" s="23" t="s">
        <v>241</v>
      </c>
      <c r="E31" s="25">
        <v>2.0480400000000001E-5</v>
      </c>
      <c r="F31" s="25" t="s">
        <v>210</v>
      </c>
      <c r="G31" s="25" t="s">
        <v>49</v>
      </c>
      <c r="H31" s="7" t="s">
        <v>49</v>
      </c>
      <c r="I31" s="13"/>
      <c r="J31" s="14">
        <v>39.619999999999997</v>
      </c>
      <c r="K31" s="17"/>
      <c r="L31" s="17"/>
      <c r="M31" s="12">
        <f t="shared" si="6"/>
        <v>3423167.9999999995</v>
      </c>
      <c r="N31" s="12">
        <f>LN(2)/(M31)</f>
        <v>2.0248704724978307E-7</v>
      </c>
      <c r="O31" s="30">
        <f t="shared" si="0"/>
        <v>1.0000000000000001E-24</v>
      </c>
      <c r="P31" s="30">
        <f t="shared" si="1"/>
        <v>13978830.671413144</v>
      </c>
      <c r="Q31" s="10">
        <f t="shared" si="2"/>
        <v>2.04804E+19</v>
      </c>
      <c r="R31" s="10">
        <f t="shared" si="3"/>
        <v>2.8629204368280974E+26</v>
      </c>
      <c r="S31" s="57">
        <f t="shared" si="4"/>
        <v>5.7970430576438051E+19</v>
      </c>
      <c r="T31" s="58">
        <f>S31*0.000000000027</f>
        <v>1565201625.5638275</v>
      </c>
      <c r="U31" s="74" t="str">
        <f>D31</f>
        <v>Mo, Ru, Rh, Tc</v>
      </c>
      <c r="V31" s="106">
        <v>3.0000000000000001E-5</v>
      </c>
      <c r="W31" s="106">
        <v>8.0000000000000007E-5</v>
      </c>
      <c r="X31" s="56">
        <v>1</v>
      </c>
      <c r="Y31" s="56">
        <v>1</v>
      </c>
      <c r="Z31" s="83">
        <v>100</v>
      </c>
      <c r="AA31" s="83">
        <v>50</v>
      </c>
      <c r="AB31" s="83">
        <f>10^7</f>
        <v>10000000</v>
      </c>
      <c r="AC31" s="83">
        <f>2000000</f>
        <v>2000000</v>
      </c>
      <c r="AD31" s="83">
        <v>10</v>
      </c>
      <c r="AE31" s="83">
        <v>3</v>
      </c>
      <c r="AF31" s="113">
        <v>100</v>
      </c>
      <c r="AG31" s="113">
        <v>100</v>
      </c>
      <c r="AH31" s="83">
        <v>10</v>
      </c>
      <c r="AI31" s="83">
        <v>2</v>
      </c>
      <c r="AJ31" s="48">
        <f>$S31*(1/X31)*(1/Z31)*(1/AB31)*(1/AD31)*(1/AF31)*(1/AH31)</f>
        <v>5797043.0576438056</v>
      </c>
      <c r="AK31" s="48">
        <f>$S31*(1/Y31)*(1/AA31)*(1/AC31)*(1/AE31)*(1/AG31)*(1/AI31)</f>
        <v>966173842.94063413</v>
      </c>
      <c r="AL31" s="48">
        <f>AK31*0.000000000027</f>
        <v>2.6086693759397123E-2</v>
      </c>
      <c r="AM31" s="48" t="str">
        <f>B31</f>
        <v>Ru-103</v>
      </c>
      <c r="AO31" s="60">
        <f>$S31</f>
        <v>5.7970430576438051E+19</v>
      </c>
      <c r="AP31" s="60">
        <f>$S31*(1/X31)</f>
        <v>5.7970430576438051E+19</v>
      </c>
      <c r="AQ31" s="60">
        <f>$S31*(1/X31)*(1/Z31)</f>
        <v>5.7970430576438054E+17</v>
      </c>
      <c r="AR31" s="60">
        <f>$S31*(1/X31)*(1/Z31)*(1/AB31)</f>
        <v>57970430576.438049</v>
      </c>
      <c r="AS31" s="60">
        <f>$S31*(1/X31)*(1/Z31)*(1/AB31)*(1/AD31)</f>
        <v>5797043057.6438055</v>
      </c>
      <c r="AT31" s="5">
        <f>$S31*(1/X31)*(1/Z31)*(1/AB31)*(1/AD31)*(1/AF31)</f>
        <v>57970430.576438054</v>
      </c>
      <c r="AU31" s="60">
        <f>$S31*(1/X31)*(1/Z31)*(1/AB31)*(1/AD31)*(1/AF31)*(1/AH31)</f>
        <v>5797043.0576438056</v>
      </c>
      <c r="AX31" s="60">
        <f>AO31</f>
        <v>5.7970430576438051E+19</v>
      </c>
      <c r="AY31" s="60">
        <f>AX31*(1/Y31)</f>
        <v>5.7970430576438051E+19</v>
      </c>
      <c r="AZ31" s="60">
        <f>AY31*(1/AA31)</f>
        <v>1.1594086115287611E+18</v>
      </c>
      <c r="BA31" s="60">
        <f>AZ31*(1/AC31)</f>
        <v>579704305764.38049</v>
      </c>
      <c r="BB31" s="60">
        <f>BA31*(1/AE31)</f>
        <v>193234768588.12683</v>
      </c>
      <c r="BC31" s="60">
        <f>BB31*(1/AG31)</f>
        <v>1932347685.8812683</v>
      </c>
      <c r="BD31" s="60">
        <f>BC31*(1/AI31)</f>
        <v>966173842.94063413</v>
      </c>
    </row>
    <row r="32" spans="2:56" ht="15.75" hidden="1" customHeight="1" x14ac:dyDescent="0.25">
      <c r="B32" s="6" t="s">
        <v>50</v>
      </c>
      <c r="C32" s="23">
        <v>44104</v>
      </c>
      <c r="D32" s="23"/>
      <c r="E32" s="25">
        <v>7.2790800000000001E-5</v>
      </c>
      <c r="F32" s="25"/>
      <c r="G32" s="25" t="s">
        <v>15</v>
      </c>
      <c r="H32" s="22" t="s">
        <v>15</v>
      </c>
      <c r="I32" s="20"/>
      <c r="J32" s="14"/>
      <c r="K32" s="17"/>
      <c r="L32" s="17"/>
      <c r="M32" s="12">
        <f t="shared" si="6"/>
        <v>0</v>
      </c>
      <c r="N32" s="8"/>
      <c r="O32" s="30">
        <f t="shared" si="0"/>
        <v>1.0000000000000001E-24</v>
      </c>
      <c r="P32" s="30">
        <f t="shared" si="1"/>
        <v>13978830.671413144</v>
      </c>
      <c r="Q32" s="10">
        <f t="shared" si="2"/>
        <v>7.2790799999999992E+19</v>
      </c>
      <c r="R32" s="10">
        <f t="shared" si="3"/>
        <v>1.0175302676366998E+27</v>
      </c>
      <c r="S32" s="10">
        <f t="shared" si="4"/>
        <v>0</v>
      </c>
      <c r="T32" s="10"/>
      <c r="U32" s="10"/>
      <c r="V32" s="46"/>
      <c r="W32" s="46"/>
      <c r="X32" s="55">
        <v>0.01</v>
      </c>
      <c r="Y32" s="55"/>
      <c r="Z32" s="78">
        <v>0.999</v>
      </c>
      <c r="AA32" s="78"/>
      <c r="AB32" s="78"/>
      <c r="AC32" s="78"/>
      <c r="AD32" s="78"/>
      <c r="AE32" s="78"/>
      <c r="AF32" s="78"/>
      <c r="AG32" s="78"/>
      <c r="AH32" s="78"/>
      <c r="AI32" s="78"/>
      <c r="AJ32" s="46">
        <f>S32*X32*(1-Z32)</f>
        <v>0</v>
      </c>
      <c r="AK32" s="42"/>
      <c r="AL32" s="42"/>
      <c r="AM32" s="42"/>
    </row>
    <row r="33" spans="2:56" ht="15.75" customHeight="1" x14ac:dyDescent="0.25">
      <c r="B33" s="6" t="s">
        <v>51</v>
      </c>
      <c r="C33" s="23">
        <v>44106</v>
      </c>
      <c r="D33" s="23" t="s">
        <v>241</v>
      </c>
      <c r="E33" s="25">
        <v>2.6273000000000001E-5</v>
      </c>
      <c r="F33" s="25" t="s">
        <v>211</v>
      </c>
      <c r="G33" s="25" t="s">
        <v>164</v>
      </c>
      <c r="H33" s="7" t="s">
        <v>52</v>
      </c>
      <c r="I33" s="13"/>
      <c r="J33" s="14">
        <v>373.6</v>
      </c>
      <c r="K33" s="17"/>
      <c r="L33" s="17"/>
      <c r="M33" s="12">
        <f t="shared" si="6"/>
        <v>32279040.000000004</v>
      </c>
      <c r="N33" s="12">
        <f>LN(2)/(M33)</f>
        <v>2.1473599603951828E-8</v>
      </c>
      <c r="O33" s="30">
        <f t="shared" si="0"/>
        <v>1.0000000000000001E-24</v>
      </c>
      <c r="P33" s="30">
        <f t="shared" si="1"/>
        <v>13978830.671413144</v>
      </c>
      <c r="Q33" s="10">
        <f t="shared" si="2"/>
        <v>2.6272999999999996E+19</v>
      </c>
      <c r="R33" s="10">
        <f t="shared" si="3"/>
        <v>3.6726581823003751E+26</v>
      </c>
      <c r="S33" s="57">
        <f t="shared" si="4"/>
        <v>7.8865191288895775E+18</v>
      </c>
      <c r="T33" s="58">
        <f>S33*0.000000000027</f>
        <v>212936016.48001859</v>
      </c>
      <c r="U33" s="74" t="str">
        <f>D33</f>
        <v>Mo, Ru, Rh, Tc</v>
      </c>
      <c r="V33" s="106">
        <v>3.0000000000000001E-5</v>
      </c>
      <c r="W33" s="106">
        <v>8.0000000000000007E-5</v>
      </c>
      <c r="X33" s="56">
        <v>1</v>
      </c>
      <c r="Y33" s="56">
        <v>1</v>
      </c>
      <c r="Z33" s="83">
        <v>100</v>
      </c>
      <c r="AA33" s="83">
        <v>50</v>
      </c>
      <c r="AB33" s="83">
        <f>10^7</f>
        <v>10000000</v>
      </c>
      <c r="AC33" s="83">
        <f>2000000</f>
        <v>2000000</v>
      </c>
      <c r="AD33" s="83">
        <v>10</v>
      </c>
      <c r="AE33" s="83">
        <v>3</v>
      </c>
      <c r="AF33" s="113">
        <v>100</v>
      </c>
      <c r="AG33" s="113">
        <v>100</v>
      </c>
      <c r="AH33" s="83">
        <v>10</v>
      </c>
      <c r="AI33" s="83">
        <v>2</v>
      </c>
      <c r="AJ33" s="48">
        <f>$S33*(1/X33)*(1/Z33)*(1/AB33)*(1/AD33)*(1/AF33)*(1/AH33)</f>
        <v>788651.91288895777</v>
      </c>
      <c r="AK33" s="48">
        <f>$S33*(1/Y33)*(1/AA33)*(1/AC33)*(1/AE33)*(1/AG33)*(1/AI33)</f>
        <v>131441985.48149294</v>
      </c>
      <c r="AL33" s="48">
        <f>AK33*0.000000000027</f>
        <v>3.5489336080003092E-3</v>
      </c>
      <c r="AM33" s="48" t="str">
        <f>B33</f>
        <v>Ru-106</v>
      </c>
      <c r="AO33" s="60">
        <f>$S33</f>
        <v>7.8865191288895775E+18</v>
      </c>
      <c r="AP33" s="60">
        <f>$S33*(1/X33)</f>
        <v>7.8865191288895775E+18</v>
      </c>
      <c r="AQ33" s="60">
        <f>$S33*(1/X33)*(1/Z33)</f>
        <v>7.8865191288895776E+16</v>
      </c>
      <c r="AR33" s="60">
        <f>$S33*(1/X33)*(1/Z33)*(1/AB33)</f>
        <v>7886519128.8895769</v>
      </c>
      <c r="AS33" s="60">
        <f>$S33*(1/X33)*(1/Z33)*(1/AB33)*(1/AD33)</f>
        <v>788651912.88895774</v>
      </c>
      <c r="AT33" s="5">
        <f>$S33*(1/X33)*(1/Z33)*(1/AB33)*(1/AD33)*(1/AF33)</f>
        <v>7886519.1288895775</v>
      </c>
      <c r="AU33" s="60">
        <f>$S33*(1/X33)*(1/Z33)*(1/AB33)*(1/AD33)*(1/AF33)*(1/AH33)</f>
        <v>788651.91288895777</v>
      </c>
      <c r="AX33" s="60">
        <f>AO33</f>
        <v>7.8865191288895775E+18</v>
      </c>
      <c r="AY33" s="60">
        <f>AX33*(1/Y33)</f>
        <v>7.8865191288895775E+18</v>
      </c>
      <c r="AZ33" s="60">
        <f>AY33*(1/AA33)</f>
        <v>1.5773038257779155E+17</v>
      </c>
      <c r="BA33" s="60">
        <f>AZ33*(1/AC33)</f>
        <v>78865191288.895767</v>
      </c>
      <c r="BB33" s="60">
        <f>BA33*(1/AE33)</f>
        <v>26288397096.298588</v>
      </c>
      <c r="BC33" s="60">
        <f>BB33*(1/AG33)</f>
        <v>262883970.96298587</v>
      </c>
      <c r="BD33" s="60">
        <f>BC33*(1/AI33)</f>
        <v>131441985.48149294</v>
      </c>
    </row>
    <row r="34" spans="2:56" ht="15.75" hidden="1" customHeight="1" x14ac:dyDescent="0.25">
      <c r="B34" s="6" t="s">
        <v>53</v>
      </c>
      <c r="C34" s="23">
        <v>45103</v>
      </c>
      <c r="D34" s="23"/>
      <c r="E34" s="25">
        <v>5.4965500000000001E-5</v>
      </c>
      <c r="F34" s="25"/>
      <c r="G34" s="25" t="s">
        <v>15</v>
      </c>
      <c r="H34" s="22" t="s">
        <v>15</v>
      </c>
      <c r="I34" s="20"/>
      <c r="J34" s="14"/>
      <c r="K34" s="17"/>
      <c r="L34" s="17"/>
      <c r="M34" s="12">
        <f t="shared" si="6"/>
        <v>0</v>
      </c>
      <c r="N34" s="8"/>
      <c r="O34" s="30">
        <f t="shared" si="0"/>
        <v>1.0000000000000001E-24</v>
      </c>
      <c r="P34" s="30">
        <f t="shared" si="1"/>
        <v>13978830.671413144</v>
      </c>
      <c r="Q34" s="10">
        <f t="shared" si="2"/>
        <v>5.4965499999999992E+19</v>
      </c>
      <c r="R34" s="10">
        <f t="shared" si="3"/>
        <v>7.6835341726955903E+26</v>
      </c>
      <c r="S34" s="10">
        <f t="shared" si="4"/>
        <v>0</v>
      </c>
      <c r="T34" s="10"/>
      <c r="U34" s="10"/>
      <c r="V34" s="46"/>
      <c r="W34" s="46"/>
      <c r="X34" s="55">
        <v>0.01</v>
      </c>
      <c r="Y34" s="55"/>
      <c r="Z34" s="78">
        <v>0.999</v>
      </c>
      <c r="AA34" s="78"/>
      <c r="AB34" s="78"/>
      <c r="AC34" s="78"/>
      <c r="AD34" s="78"/>
      <c r="AE34" s="78"/>
      <c r="AF34" s="78"/>
      <c r="AG34" s="78"/>
      <c r="AH34" s="78"/>
      <c r="AI34" s="78"/>
      <c r="AJ34" s="46">
        <f>S34*X34*(1-Z34)</f>
        <v>0</v>
      </c>
      <c r="AK34" s="42"/>
      <c r="AL34" s="42"/>
      <c r="AM34" s="42"/>
    </row>
    <row r="35" spans="2:56" ht="15.75" customHeight="1" x14ac:dyDescent="0.25">
      <c r="B35" s="6" t="s">
        <v>54</v>
      </c>
      <c r="C35" s="23">
        <v>45105</v>
      </c>
      <c r="D35" s="23" t="s">
        <v>241</v>
      </c>
      <c r="E35" s="25">
        <v>4.30968E-7</v>
      </c>
      <c r="F35" s="25"/>
      <c r="G35" s="25" t="s">
        <v>55</v>
      </c>
      <c r="H35" s="7" t="s">
        <v>55</v>
      </c>
      <c r="I35" s="13"/>
      <c r="J35" s="14"/>
      <c r="K35" s="17">
        <v>35.36</v>
      </c>
      <c r="L35" s="17"/>
      <c r="M35" s="12">
        <f t="shared" si="6"/>
        <v>127296</v>
      </c>
      <c r="N35" s="12">
        <f>LN(2)/(M35)</f>
        <v>5.4451607321514057E-6</v>
      </c>
      <c r="O35" s="30">
        <f t="shared" si="0"/>
        <v>1.0000000000000001E-24</v>
      </c>
      <c r="P35" s="30">
        <f t="shared" si="1"/>
        <v>13978830.671413144</v>
      </c>
      <c r="Q35" s="10">
        <f t="shared" si="2"/>
        <v>4.3096799999999994E+17</v>
      </c>
      <c r="R35" s="10">
        <f t="shared" si="3"/>
        <v>6.0244286967975787E+24</v>
      </c>
      <c r="S35" s="57">
        <f t="shared" si="4"/>
        <v>3.2803982573448241E+19</v>
      </c>
      <c r="T35" s="58">
        <f>S35*0.000000000027</f>
        <v>885707529.48310256</v>
      </c>
      <c r="U35" s="74" t="str">
        <f>D35</f>
        <v>Mo, Ru, Rh, Tc</v>
      </c>
      <c r="V35" s="106">
        <v>3.0000000000000001E-5</v>
      </c>
      <c r="W35" s="106">
        <v>8.0000000000000007E-5</v>
      </c>
      <c r="X35" s="56">
        <v>1</v>
      </c>
      <c r="Y35" s="56">
        <v>1</v>
      </c>
      <c r="Z35" s="83">
        <v>100</v>
      </c>
      <c r="AA35" s="83">
        <v>50</v>
      </c>
      <c r="AB35" s="83">
        <f>10^7</f>
        <v>10000000</v>
      </c>
      <c r="AC35" s="83">
        <f>2000000</f>
        <v>2000000</v>
      </c>
      <c r="AD35" s="83">
        <v>10</v>
      </c>
      <c r="AE35" s="83">
        <v>3</v>
      </c>
      <c r="AF35" s="113">
        <v>100</v>
      </c>
      <c r="AG35" s="113">
        <v>100</v>
      </c>
      <c r="AH35" s="83">
        <v>10</v>
      </c>
      <c r="AI35" s="83">
        <v>2</v>
      </c>
      <c r="AJ35" s="48">
        <f>$S35*(1/X35)*(1/Z35)*(1/AB35)*(1/AD35)*(1/AF35)*(1/AH35)</f>
        <v>3280398.2573448247</v>
      </c>
      <c r="AK35" s="48">
        <f>$S35*(1/Y35)*(1/AA35)*(1/AC35)*(1/AE35)*(1/AG35)*(1/AI35)</f>
        <v>546733042.89080405</v>
      </c>
      <c r="AL35" s="48">
        <f>AK35*0.000000000027</f>
        <v>1.476179215805171E-2</v>
      </c>
      <c r="AM35" s="48" t="str">
        <f>B35</f>
        <v>Rh-105</v>
      </c>
      <c r="AO35" s="60">
        <f>$S35</f>
        <v>3.2803982573448241E+19</v>
      </c>
      <c r="AP35" s="60">
        <f>$S35*(1/X35)</f>
        <v>3.2803982573448241E+19</v>
      </c>
      <c r="AQ35" s="60">
        <f>$S35*(1/X35)*(1/Z35)</f>
        <v>3.2803982573448243E+17</v>
      </c>
      <c r="AR35" s="60">
        <f>$S35*(1/X35)*(1/Z35)*(1/AB35)</f>
        <v>32803982573.448242</v>
      </c>
      <c r="AS35" s="60">
        <f>$S35*(1/X35)*(1/Z35)*(1/AB35)*(1/AD35)</f>
        <v>3280398257.3448243</v>
      </c>
      <c r="AT35" s="5">
        <f>$S35*(1/X35)*(1/Z35)*(1/AB35)*(1/AD35)*(1/AF35)</f>
        <v>32803982.573448244</v>
      </c>
      <c r="AU35" s="60">
        <f>$S35*(1/X35)*(1/Z35)*(1/AB35)*(1/AD35)*(1/AF35)*(1/AH35)</f>
        <v>3280398.2573448247</v>
      </c>
      <c r="AX35" s="60">
        <f>AO35</f>
        <v>3.2803982573448241E+19</v>
      </c>
      <c r="AY35" s="60">
        <f>AX35*(1/Y35)</f>
        <v>3.2803982573448241E+19</v>
      </c>
      <c r="AZ35" s="60">
        <f>AY35*(1/AA35)</f>
        <v>6.5607965146896486E+17</v>
      </c>
      <c r="BA35" s="60">
        <f>AZ35*(1/AC35)</f>
        <v>328039825734.48242</v>
      </c>
      <c r="BB35" s="60">
        <f>BA35*(1/AE35)</f>
        <v>109346608578.1608</v>
      </c>
      <c r="BC35" s="60">
        <f>BB35*(1/AG35)</f>
        <v>1093466085.7816081</v>
      </c>
      <c r="BD35" s="60">
        <f>BC35*(1/AI35)</f>
        <v>546733042.89080405</v>
      </c>
    </row>
    <row r="36" spans="2:56" ht="15.75" hidden="1" customHeight="1" x14ac:dyDescent="0.25">
      <c r="B36" s="6" t="s">
        <v>56</v>
      </c>
      <c r="C36" s="23">
        <v>46105</v>
      </c>
      <c r="D36" s="23"/>
      <c r="E36" s="25">
        <v>4.12532E-5</v>
      </c>
      <c r="F36" s="25"/>
      <c r="G36" s="25" t="s">
        <v>15</v>
      </c>
      <c r="H36" s="22" t="s">
        <v>15</v>
      </c>
      <c r="I36" s="20"/>
      <c r="J36" s="14"/>
      <c r="K36" s="17"/>
      <c r="L36" s="17"/>
      <c r="M36" s="12">
        <f t="shared" si="6"/>
        <v>0</v>
      </c>
      <c r="N36" s="8"/>
      <c r="O36" s="30">
        <f t="shared" si="0"/>
        <v>1.0000000000000001E-24</v>
      </c>
      <c r="P36" s="30">
        <f t="shared" si="1"/>
        <v>13978830.671413144</v>
      </c>
      <c r="Q36" s="10">
        <f t="shared" si="2"/>
        <v>4.1253199999999992E+19</v>
      </c>
      <c r="R36" s="10">
        <f t="shared" si="3"/>
        <v>5.7667149745394057E+26</v>
      </c>
      <c r="S36" s="10">
        <f t="shared" si="4"/>
        <v>0</v>
      </c>
      <c r="T36" s="10"/>
      <c r="U36" s="10"/>
      <c r="V36" s="43"/>
      <c r="W36" s="43"/>
      <c r="X36" s="50">
        <v>0.01</v>
      </c>
      <c r="Y36" s="50"/>
      <c r="Z36" s="51">
        <v>0.999</v>
      </c>
      <c r="AA36" s="51"/>
      <c r="AB36" s="51"/>
      <c r="AC36" s="51"/>
      <c r="AD36" s="51"/>
      <c r="AE36" s="51"/>
      <c r="AF36" s="51"/>
      <c r="AG36" s="51"/>
      <c r="AH36" s="51"/>
      <c r="AI36" s="51"/>
      <c r="AJ36" s="43">
        <f>S36*X36*(1-Z36)</f>
        <v>0</v>
      </c>
      <c r="AK36" s="42"/>
      <c r="AL36" s="42"/>
      <c r="AM36" s="42"/>
    </row>
    <row r="37" spans="2:56" ht="15.75" hidden="1" customHeight="1" x14ac:dyDescent="0.25">
      <c r="B37" s="6" t="s">
        <v>57</v>
      </c>
      <c r="C37" s="23">
        <v>46106</v>
      </c>
      <c r="D37" s="23"/>
      <c r="E37" s="25">
        <v>1.77633E-5</v>
      </c>
      <c r="F37" s="25"/>
      <c r="G37" s="25" t="s">
        <v>15</v>
      </c>
      <c r="H37" s="22" t="s">
        <v>15</v>
      </c>
      <c r="I37" s="20"/>
      <c r="J37" s="14"/>
      <c r="K37" s="17"/>
      <c r="L37" s="17"/>
      <c r="M37" s="12">
        <f t="shared" si="6"/>
        <v>0</v>
      </c>
      <c r="N37" s="8"/>
      <c r="O37" s="30">
        <f t="shared" si="0"/>
        <v>1.0000000000000001E-24</v>
      </c>
      <c r="P37" s="30">
        <f t="shared" si="1"/>
        <v>13978830.671413144</v>
      </c>
      <c r="Q37" s="10">
        <f t="shared" si="2"/>
        <v>1.7763299999999998E+19</v>
      </c>
      <c r="R37" s="10">
        <f t="shared" si="3"/>
        <v>2.4831016286551308E+26</v>
      </c>
      <c r="S37" s="10">
        <f t="shared" si="4"/>
        <v>0</v>
      </c>
      <c r="T37" s="10"/>
      <c r="U37" s="10"/>
      <c r="V37" s="45"/>
      <c r="W37" s="45"/>
      <c r="X37" s="54">
        <v>0.01</v>
      </c>
      <c r="Y37" s="54"/>
      <c r="Z37" s="77">
        <v>0.999</v>
      </c>
      <c r="AA37" s="77"/>
      <c r="AB37" s="77"/>
      <c r="AC37" s="77"/>
      <c r="AD37" s="77"/>
      <c r="AE37" s="77"/>
      <c r="AF37" s="77"/>
      <c r="AG37" s="77"/>
      <c r="AH37" s="77"/>
      <c r="AI37" s="77"/>
      <c r="AJ37" s="45">
        <f>S37*X37*(1-Z37)</f>
        <v>0</v>
      </c>
      <c r="AK37" s="42"/>
      <c r="AL37" s="42"/>
      <c r="AM37" s="42"/>
    </row>
    <row r="38" spans="2:56" ht="15.75" customHeight="1" x14ac:dyDescent="0.25">
      <c r="B38" s="6" t="s">
        <v>129</v>
      </c>
      <c r="C38" s="23">
        <v>92235</v>
      </c>
      <c r="D38" s="23" t="s">
        <v>242</v>
      </c>
      <c r="E38" s="25">
        <v>2.23551E-3</v>
      </c>
      <c r="F38" s="25" t="s">
        <v>222</v>
      </c>
      <c r="G38" s="25" t="s">
        <v>186</v>
      </c>
      <c r="H38" s="7" t="s">
        <v>130</v>
      </c>
      <c r="I38" s="21">
        <v>703800000</v>
      </c>
      <c r="J38" s="14"/>
      <c r="K38" s="17"/>
      <c r="L38" s="17"/>
      <c r="M38" s="12">
        <f t="shared" si="6"/>
        <v>2.21950368E+16</v>
      </c>
      <c r="N38" s="12">
        <f>LN(2)/(M38)</f>
        <v>3.1229827947838559E-17</v>
      </c>
      <c r="O38" s="30">
        <f t="shared" si="0"/>
        <v>1.0000000000000001E-24</v>
      </c>
      <c r="P38" s="30">
        <f t="shared" si="1"/>
        <v>13978830.671413144</v>
      </c>
      <c r="Q38" s="10">
        <f t="shared" si="2"/>
        <v>2.2355099999999998E+21</v>
      </c>
      <c r="R38" s="10">
        <f t="shared" si="3"/>
        <v>3.1249815754250794E+28</v>
      </c>
      <c r="S38" s="57">
        <f t="shared" si="4"/>
        <v>975926369406.9071</v>
      </c>
      <c r="T38" s="58">
        <f>S38*0.000000000027</f>
        <v>26.350011973986494</v>
      </c>
      <c r="U38" s="74" t="str">
        <f>D38</f>
        <v>Pu, Actinidos</v>
      </c>
      <c r="V38" s="107">
        <v>3.0000000000000001E-5</v>
      </c>
      <c r="W38" s="107">
        <v>8.0000000000000007E-5</v>
      </c>
      <c r="X38" s="81">
        <v>1</v>
      </c>
      <c r="Y38" s="81">
        <v>1</v>
      </c>
      <c r="Z38" s="82">
        <v>200</v>
      </c>
      <c r="AA38" s="82">
        <v>100</v>
      </c>
      <c r="AB38" s="82">
        <f>10^7</f>
        <v>10000000</v>
      </c>
      <c r="AC38" s="82">
        <f>2000000</f>
        <v>2000000</v>
      </c>
      <c r="AD38" s="82">
        <v>100</v>
      </c>
      <c r="AE38" s="82">
        <v>30</v>
      </c>
      <c r="AF38" s="114">
        <v>100</v>
      </c>
      <c r="AG38" s="114">
        <v>100</v>
      </c>
      <c r="AH38" s="82">
        <v>10</v>
      </c>
      <c r="AI38" s="82">
        <v>2</v>
      </c>
      <c r="AJ38" s="48">
        <f>$S38*(1/X38)*(1/Z38)*(1/AB38)*(1/AD38)*(1/AF38)*(1/AH38)</f>
        <v>4.879631847034536E-3</v>
      </c>
      <c r="AK38" s="48">
        <f>$S38*(1/Y38)*(1/AA38)*(1/AC38)*(1/AE38)*(1/AG38)*(1/AI38)</f>
        <v>0.81327197450575583</v>
      </c>
      <c r="AL38" s="48">
        <f>AK38*0.000000000027</f>
        <v>2.1958343311655409E-11</v>
      </c>
      <c r="AM38" s="48" t="str">
        <f>B38</f>
        <v>U-235</v>
      </c>
      <c r="AO38" s="60">
        <f>$S38</f>
        <v>975926369406.9071</v>
      </c>
      <c r="AP38" s="60">
        <f>$S38*(1/X38)</f>
        <v>975926369406.9071</v>
      </c>
      <c r="AQ38" s="60">
        <f>$S38*(1/X38)*(1/Z38)</f>
        <v>4879631847.0345354</v>
      </c>
      <c r="AR38" s="60">
        <f>$S38*(1/X38)*(1/Z38)*(1/AB38)</f>
        <v>487.96318470345352</v>
      </c>
      <c r="AS38" s="60">
        <f>$S38*(1/X38)*(1/Z38)*(1/AB38)*(1/AD38)</f>
        <v>4.8796318470345357</v>
      </c>
      <c r="AT38" s="5">
        <f>$S38*(1/X38)*(1/Z38)*(1/AB38)*(1/AD38)*(1/AF38)</f>
        <v>4.8796318470345358E-2</v>
      </c>
      <c r="AU38" s="60">
        <f>$S38*(1/X38)*(1/Z38)*(1/AB38)*(1/AD38)*(1/AF38)*(1/AH38)</f>
        <v>4.879631847034536E-3</v>
      </c>
      <c r="AX38" s="60">
        <f>AO38</f>
        <v>975926369406.9071</v>
      </c>
      <c r="AY38" s="60">
        <f>AX38*(1/Y38)</f>
        <v>975926369406.9071</v>
      </c>
      <c r="AZ38" s="60">
        <f>AY38*(1/AA38)</f>
        <v>9759263694.0690708</v>
      </c>
      <c r="BA38" s="60">
        <f>AZ38*(1/AC38)</f>
        <v>4879.631847034535</v>
      </c>
      <c r="BB38" s="60">
        <f>BA38*(1/AE38)</f>
        <v>162.65439490115116</v>
      </c>
      <c r="BC38" s="60">
        <f>BB38*(1/AG38)</f>
        <v>1.6265439490115117</v>
      </c>
      <c r="BD38" s="60">
        <f>BC38*(1/AI38)</f>
        <v>0.81327197450575583</v>
      </c>
    </row>
    <row r="39" spans="2:56" ht="15.75" hidden="1" customHeight="1" x14ac:dyDescent="0.25">
      <c r="B39" s="6" t="s">
        <v>60</v>
      </c>
      <c r="C39" s="23">
        <v>46108</v>
      </c>
      <c r="D39" s="23"/>
      <c r="E39" s="25">
        <v>1.4544E-5</v>
      </c>
      <c r="F39" s="25"/>
      <c r="G39" s="25" t="s">
        <v>15</v>
      </c>
      <c r="H39" s="22" t="s">
        <v>15</v>
      </c>
      <c r="I39" s="20"/>
      <c r="J39" s="14"/>
      <c r="K39" s="17"/>
      <c r="L39" s="17"/>
      <c r="M39" s="12">
        <f t="shared" si="6"/>
        <v>0</v>
      </c>
      <c r="N39" s="8"/>
      <c r="O39" s="30">
        <f t="shared" si="0"/>
        <v>1.0000000000000001E-24</v>
      </c>
      <c r="P39" s="30">
        <f t="shared" si="1"/>
        <v>13978830.671413144</v>
      </c>
      <c r="Q39" s="10">
        <f t="shared" si="2"/>
        <v>1.4543999999999998E+19</v>
      </c>
      <c r="R39" s="10">
        <f t="shared" si="3"/>
        <v>2.0330811328503274E+26</v>
      </c>
      <c r="S39" s="10">
        <f t="shared" si="4"/>
        <v>0</v>
      </c>
      <c r="T39" s="10"/>
      <c r="U39" s="10"/>
      <c r="V39" s="43"/>
      <c r="W39" s="43"/>
      <c r="X39" s="50">
        <v>0.01</v>
      </c>
      <c r="Y39" s="50"/>
      <c r="Z39" s="51">
        <v>0.999</v>
      </c>
      <c r="AA39" s="51"/>
      <c r="AB39" s="51"/>
      <c r="AC39" s="51"/>
      <c r="AD39" s="51"/>
      <c r="AE39" s="51"/>
      <c r="AF39" s="51"/>
      <c r="AG39" s="51"/>
      <c r="AH39" s="51"/>
      <c r="AI39" s="51"/>
      <c r="AJ39" s="43">
        <f>S39*X39*(1-Z39)</f>
        <v>0</v>
      </c>
      <c r="AK39" s="42"/>
      <c r="AL39" s="42"/>
      <c r="AM39" s="42"/>
    </row>
    <row r="40" spans="2:56" ht="15.75" hidden="1" customHeight="1" x14ac:dyDescent="0.25">
      <c r="B40" s="6" t="s">
        <v>61</v>
      </c>
      <c r="C40" s="23">
        <v>47109</v>
      </c>
      <c r="D40" s="23"/>
      <c r="E40" s="25">
        <v>7.8391700000000007E-6</v>
      </c>
      <c r="F40" s="25"/>
      <c r="G40" s="25" t="s">
        <v>15</v>
      </c>
      <c r="H40" s="22" t="s">
        <v>15</v>
      </c>
      <c r="I40" s="31"/>
      <c r="J40" s="32"/>
      <c r="K40" s="33"/>
      <c r="L40" s="33"/>
      <c r="M40" s="12">
        <f t="shared" si="6"/>
        <v>0</v>
      </c>
      <c r="N40" s="8"/>
      <c r="O40" s="30">
        <f t="shared" si="0"/>
        <v>1.0000000000000001E-24</v>
      </c>
      <c r="P40" s="30">
        <f t="shared" si="1"/>
        <v>13978830.671413144</v>
      </c>
      <c r="Q40" s="10">
        <f t="shared" si="2"/>
        <v>7.83917E+18</v>
      </c>
      <c r="R40" s="10">
        <f t="shared" si="3"/>
        <v>1.0958243003442177E+26</v>
      </c>
      <c r="S40" s="10">
        <f t="shared" si="4"/>
        <v>0</v>
      </c>
      <c r="T40" s="10"/>
      <c r="U40" s="10"/>
      <c r="V40" s="10"/>
      <c r="W40" s="10"/>
      <c r="X40" s="9">
        <v>0.01</v>
      </c>
      <c r="Y40" s="9"/>
      <c r="Z40" s="11">
        <v>0.999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0">
        <f>S40*X40*(1-Z40)</f>
        <v>0</v>
      </c>
      <c r="AK40" s="42"/>
      <c r="AL40" s="42"/>
      <c r="AM40" s="42"/>
    </row>
    <row r="41" spans="2:56" ht="15.75" hidden="1" customHeight="1" x14ac:dyDescent="0.25">
      <c r="B41" s="6" t="s">
        <v>62</v>
      </c>
      <c r="C41" s="23">
        <v>52130</v>
      </c>
      <c r="D41" s="23"/>
      <c r="E41" s="25">
        <v>4.8028000000000002E-5</v>
      </c>
      <c r="F41" s="25"/>
      <c r="G41" s="25" t="s">
        <v>15</v>
      </c>
      <c r="H41" s="22" t="s">
        <v>15</v>
      </c>
      <c r="I41" s="5"/>
      <c r="J41" s="5"/>
      <c r="K41" s="5"/>
      <c r="L41" s="5"/>
      <c r="M41" s="12">
        <f t="shared" si="6"/>
        <v>0</v>
      </c>
      <c r="N41" s="8"/>
      <c r="O41" s="30">
        <f t="shared" si="0"/>
        <v>1.0000000000000001E-24</v>
      </c>
      <c r="P41" s="30">
        <f t="shared" si="1"/>
        <v>13978830.671413144</v>
      </c>
      <c r="Q41" s="10">
        <f t="shared" si="2"/>
        <v>4.8028E+19</v>
      </c>
      <c r="R41" s="10">
        <f t="shared" si="3"/>
        <v>6.7137527948663053E+26</v>
      </c>
      <c r="S41" s="10">
        <f t="shared" si="4"/>
        <v>0</v>
      </c>
      <c r="T41" s="10"/>
      <c r="U41" s="10"/>
      <c r="V41" s="45"/>
      <c r="W41" s="45"/>
      <c r="X41" s="54">
        <v>0.01</v>
      </c>
      <c r="Y41" s="54"/>
      <c r="Z41" s="77">
        <v>0.999</v>
      </c>
      <c r="AA41" s="77"/>
      <c r="AB41" s="77"/>
      <c r="AC41" s="77"/>
      <c r="AD41" s="77"/>
      <c r="AE41" s="77"/>
      <c r="AF41" s="77"/>
      <c r="AG41" s="77"/>
      <c r="AH41" s="77"/>
      <c r="AI41" s="77"/>
      <c r="AJ41" s="45">
        <f>S41*X41*(1-Z41)</f>
        <v>0</v>
      </c>
      <c r="AK41" s="42"/>
      <c r="AL41" s="42"/>
      <c r="AM41" s="42"/>
    </row>
    <row r="42" spans="2:56" ht="15.75" customHeight="1" x14ac:dyDescent="0.25">
      <c r="B42" s="6" t="s">
        <v>133</v>
      </c>
      <c r="C42" s="23">
        <v>92237</v>
      </c>
      <c r="D42" s="23" t="s">
        <v>242</v>
      </c>
      <c r="E42" s="25">
        <v>2.8464700000000002E-6</v>
      </c>
      <c r="F42" s="25" t="s">
        <v>223</v>
      </c>
      <c r="G42" s="25" t="s">
        <v>188</v>
      </c>
      <c r="H42" s="7" t="s">
        <v>134</v>
      </c>
      <c r="I42" s="37"/>
      <c r="J42" s="34"/>
      <c r="K42" s="35"/>
      <c r="L42" s="35">
        <v>98</v>
      </c>
      <c r="M42" s="12">
        <f t="shared" si="6"/>
        <v>5880</v>
      </c>
      <c r="N42" s="12">
        <f>LN(2)/(M42)</f>
        <v>1.1788217356461654E-4</v>
      </c>
      <c r="O42" s="30">
        <f t="shared" si="0"/>
        <v>1.0000000000000001E-24</v>
      </c>
      <c r="P42" s="30">
        <f t="shared" si="1"/>
        <v>13978830.671413144</v>
      </c>
      <c r="Q42" s="10">
        <f t="shared" si="2"/>
        <v>2.84647E+18</v>
      </c>
      <c r="R42" s="10">
        <f t="shared" si="3"/>
        <v>3.9790322141257372E+25</v>
      </c>
      <c r="S42" s="57">
        <f t="shared" si="4"/>
        <v>4.6905696608477061E+21</v>
      </c>
      <c r="T42" s="58">
        <f>S42*0.000000000027</f>
        <v>126645380842.88806</v>
      </c>
      <c r="U42" s="74" t="str">
        <f>D42</f>
        <v>Pu, Actinidos</v>
      </c>
      <c r="V42" s="107">
        <v>3.0000000000000001E-5</v>
      </c>
      <c r="W42" s="107">
        <v>8.0000000000000007E-5</v>
      </c>
      <c r="X42" s="81">
        <v>1</v>
      </c>
      <c r="Y42" s="81">
        <v>1</v>
      </c>
      <c r="Z42" s="82">
        <v>200</v>
      </c>
      <c r="AA42" s="82">
        <v>100</v>
      </c>
      <c r="AB42" s="82">
        <f>10^7</f>
        <v>10000000</v>
      </c>
      <c r="AC42" s="82">
        <f>2000000</f>
        <v>2000000</v>
      </c>
      <c r="AD42" s="82">
        <v>100</v>
      </c>
      <c r="AE42" s="82">
        <v>30</v>
      </c>
      <c r="AF42" s="114">
        <v>100</v>
      </c>
      <c r="AG42" s="114">
        <v>100</v>
      </c>
      <c r="AH42" s="82">
        <v>10</v>
      </c>
      <c r="AI42" s="82">
        <v>2</v>
      </c>
      <c r="AJ42" s="48">
        <f>$S42*(1/X42)*(1/Z42)*(1/AB42)*(1/AD42)*(1/AF42)*(1/AH42)</f>
        <v>23452848.304238532</v>
      </c>
      <c r="AK42" s="48">
        <f>$S42*(1/Y42)*(1/AA42)*(1/AC42)*(1/AE42)*(1/AG42)*(1/AI42)</f>
        <v>3908808050.7064223</v>
      </c>
      <c r="AL42" s="48">
        <f>AK42*0.000000000027</f>
        <v>0.1055378173690734</v>
      </c>
      <c r="AM42" s="48" t="str">
        <f>B42</f>
        <v>U-237</v>
      </c>
      <c r="AO42" s="60">
        <f>$S42</f>
        <v>4.6905696608477061E+21</v>
      </c>
      <c r="AP42" s="60">
        <f>$S42*(1/X42)</f>
        <v>4.6905696608477061E+21</v>
      </c>
      <c r="AQ42" s="60">
        <f>$S42*(1/X42)*(1/Z42)</f>
        <v>2.3452848304238531E+19</v>
      </c>
      <c r="AR42" s="60">
        <f>$S42*(1/X42)*(1/Z42)*(1/AB42)</f>
        <v>2345284830423.853</v>
      </c>
      <c r="AS42" s="60">
        <f>$S42*(1/X42)*(1/Z42)*(1/AB42)*(1/AD42)</f>
        <v>23452848304.238529</v>
      </c>
      <c r="AT42" s="5">
        <f>$S42*(1/X42)*(1/Z42)*(1/AB42)*(1/AD42)*(1/AF42)</f>
        <v>234528483.04238531</v>
      </c>
      <c r="AU42" s="60">
        <f>$S42*(1/X42)*(1/Z42)*(1/AB42)*(1/AD42)*(1/AF42)*(1/AH42)</f>
        <v>23452848.304238532</v>
      </c>
      <c r="AX42" s="60">
        <f>AO42</f>
        <v>4.6905696608477061E+21</v>
      </c>
      <c r="AY42" s="60">
        <f>AX42*(1/Y42)</f>
        <v>4.6905696608477061E+21</v>
      </c>
      <c r="AZ42" s="60">
        <f>AY42*(1/AA42)</f>
        <v>4.6905696608477061E+19</v>
      </c>
      <c r="BA42" s="60">
        <f>AZ42*(1/AC42)</f>
        <v>23452848304238.531</v>
      </c>
      <c r="BB42" s="60">
        <f>BA42*(1/AE42)</f>
        <v>781761610141.28442</v>
      </c>
      <c r="BC42" s="60">
        <f>BB42*(1/AG42)</f>
        <v>7817616101.4128447</v>
      </c>
      <c r="BD42" s="60">
        <f>BC42*(1/AI42)</f>
        <v>3908808050.7064223</v>
      </c>
    </row>
    <row r="43" spans="2:56" ht="15.75" hidden="1" customHeight="1" x14ac:dyDescent="0.25">
      <c r="B43" s="6" t="s">
        <v>65</v>
      </c>
      <c r="C43" s="23">
        <v>54131</v>
      </c>
      <c r="D43" s="23"/>
      <c r="E43" s="25">
        <v>5.3956199999999997E-5</v>
      </c>
      <c r="F43" s="25"/>
      <c r="G43" s="25" t="s">
        <v>15</v>
      </c>
      <c r="H43" s="22" t="s">
        <v>15</v>
      </c>
      <c r="I43" s="20"/>
      <c r="J43" s="14"/>
      <c r="K43" s="17"/>
      <c r="L43" s="17"/>
      <c r="M43" s="12">
        <f t="shared" si="6"/>
        <v>0</v>
      </c>
      <c r="N43" s="8"/>
      <c r="O43" s="30">
        <f t="shared" si="0"/>
        <v>1.0000000000000001E-24</v>
      </c>
      <c r="P43" s="30">
        <f t="shared" si="1"/>
        <v>13978830.671413144</v>
      </c>
      <c r="Q43" s="10">
        <f t="shared" si="2"/>
        <v>5.3956199999999992E+19</v>
      </c>
      <c r="R43" s="10">
        <f t="shared" si="3"/>
        <v>7.5424458347290174E+26</v>
      </c>
      <c r="S43" s="10">
        <f t="shared" si="4"/>
        <v>0</v>
      </c>
      <c r="T43" s="10"/>
      <c r="U43" s="10"/>
      <c r="V43" s="43"/>
      <c r="W43" s="43"/>
      <c r="X43" s="50">
        <v>0.01</v>
      </c>
      <c r="Y43" s="50"/>
      <c r="Z43" s="51">
        <v>0.999</v>
      </c>
      <c r="AA43" s="51"/>
      <c r="AB43" s="51"/>
      <c r="AC43" s="51"/>
      <c r="AD43" s="51"/>
      <c r="AE43" s="51"/>
      <c r="AF43" s="51"/>
      <c r="AG43" s="51"/>
      <c r="AH43" s="51"/>
      <c r="AI43" s="51"/>
      <c r="AJ43" s="43">
        <f>S43*X43*(1-Z43)</f>
        <v>0</v>
      </c>
      <c r="AK43" s="42"/>
      <c r="AL43" s="42"/>
      <c r="AM43" s="42"/>
    </row>
    <row r="44" spans="2:56" ht="15.75" hidden="1" customHeight="1" x14ac:dyDescent="0.25">
      <c r="B44" s="6" t="s">
        <v>66</v>
      </c>
      <c r="C44" s="23">
        <v>54132</v>
      </c>
      <c r="D44" s="23"/>
      <c r="E44" s="25">
        <v>1.3154900000000001E-4</v>
      </c>
      <c r="F44" s="25"/>
      <c r="G44" s="25" t="s">
        <v>15</v>
      </c>
      <c r="H44" s="22" t="s">
        <v>15</v>
      </c>
      <c r="I44" s="20"/>
      <c r="J44" s="14"/>
      <c r="K44" s="17"/>
      <c r="L44" s="17"/>
      <c r="M44" s="12">
        <f t="shared" si="6"/>
        <v>0</v>
      </c>
      <c r="N44" s="8"/>
      <c r="O44" s="30">
        <f t="shared" si="0"/>
        <v>1.0000000000000001E-24</v>
      </c>
      <c r="P44" s="30">
        <f t="shared" si="1"/>
        <v>13978830.671413144</v>
      </c>
      <c r="Q44" s="10">
        <f t="shared" si="2"/>
        <v>1.31549E+20</v>
      </c>
      <c r="R44" s="10">
        <f t="shared" si="3"/>
        <v>1.8389011959937278E+27</v>
      </c>
      <c r="S44" s="10">
        <f t="shared" si="4"/>
        <v>0</v>
      </c>
      <c r="T44" s="10"/>
      <c r="U44" s="10"/>
      <c r="V44" s="45"/>
      <c r="W44" s="45"/>
      <c r="X44" s="54">
        <v>0.01</v>
      </c>
      <c r="Y44" s="54"/>
      <c r="Z44" s="77">
        <v>0.999</v>
      </c>
      <c r="AA44" s="77"/>
      <c r="AB44" s="77"/>
      <c r="AC44" s="77"/>
      <c r="AD44" s="77"/>
      <c r="AE44" s="77"/>
      <c r="AF44" s="77"/>
      <c r="AG44" s="77"/>
      <c r="AH44" s="77"/>
      <c r="AI44" s="77"/>
      <c r="AJ44" s="45">
        <f>S44*X44*(1-Z44)</f>
        <v>0</v>
      </c>
      <c r="AK44" s="42"/>
      <c r="AL44" s="42"/>
      <c r="AM44" s="42"/>
    </row>
    <row r="45" spans="2:56" ht="15.75" customHeight="1" x14ac:dyDescent="0.25">
      <c r="B45" s="6" t="s">
        <v>10</v>
      </c>
      <c r="C45" s="23">
        <v>92238</v>
      </c>
      <c r="D45" s="23" t="s">
        <v>242</v>
      </c>
      <c r="E45" s="25">
        <v>1.79355E-2</v>
      </c>
      <c r="F45" s="25" t="s">
        <v>224</v>
      </c>
      <c r="G45" s="25" t="s">
        <v>189</v>
      </c>
      <c r="H45" s="7" t="s">
        <v>135</v>
      </c>
      <c r="I45" s="21">
        <v>4468000000</v>
      </c>
      <c r="J45" s="14"/>
      <c r="K45" s="17"/>
      <c r="L45" s="17"/>
      <c r="M45" s="12">
        <f t="shared" si="6"/>
        <v>1.40902848E+17</v>
      </c>
      <c r="N45" s="12">
        <f>LN(2)/(M45)</f>
        <v>4.9193269717298071E-18</v>
      </c>
      <c r="O45" s="30">
        <f t="shared" si="0"/>
        <v>1.0000000000000001E-24</v>
      </c>
      <c r="P45" s="30">
        <f t="shared" si="1"/>
        <v>13978830.671413144</v>
      </c>
      <c r="Q45" s="10">
        <f t="shared" si="2"/>
        <v>1.7935499999999999E+22</v>
      </c>
      <c r="R45" s="10">
        <f t="shared" si="3"/>
        <v>2.5071731750713044E+29</v>
      </c>
      <c r="S45" s="57">
        <f t="shared" si="4"/>
        <v>1233360462292.5725</v>
      </c>
      <c r="T45" s="58">
        <f>S45*0.000000000027</f>
        <v>33.300732481899459</v>
      </c>
      <c r="U45" s="74" t="str">
        <f>D45</f>
        <v>Pu, Actinidos</v>
      </c>
      <c r="V45" s="107">
        <v>3.0000000000000001E-5</v>
      </c>
      <c r="W45" s="107">
        <v>8.0000000000000007E-5</v>
      </c>
      <c r="X45" s="81">
        <v>1</v>
      </c>
      <c r="Y45" s="81">
        <v>1</v>
      </c>
      <c r="Z45" s="82">
        <v>200</v>
      </c>
      <c r="AA45" s="82">
        <v>100</v>
      </c>
      <c r="AB45" s="82">
        <f>10^7</f>
        <v>10000000</v>
      </c>
      <c r="AC45" s="82">
        <f>2000000</f>
        <v>2000000</v>
      </c>
      <c r="AD45" s="82">
        <v>100</v>
      </c>
      <c r="AE45" s="82">
        <v>30</v>
      </c>
      <c r="AF45" s="114">
        <v>100</v>
      </c>
      <c r="AG45" s="114">
        <v>100</v>
      </c>
      <c r="AH45" s="82">
        <v>10</v>
      </c>
      <c r="AI45" s="82">
        <v>2</v>
      </c>
      <c r="AJ45" s="48">
        <f>$S45*(1/X45)*(1/Z45)*(1/AB45)*(1/AD45)*(1/AF45)*(1/AH45)</f>
        <v>6.1668023114628623E-3</v>
      </c>
      <c r="AK45" s="48">
        <f>$S45*(1/Y45)*(1/AA45)*(1/AC45)*(1/AE45)*(1/AG45)*(1/AI45)</f>
        <v>1.0278003852438105</v>
      </c>
      <c r="AL45" s="48">
        <f>AK45*0.000000000027</f>
        <v>2.7750610401582882E-11</v>
      </c>
      <c r="AM45" s="48" t="str">
        <f>B45</f>
        <v>U-238</v>
      </c>
      <c r="AO45" s="60">
        <f>$S45</f>
        <v>1233360462292.5725</v>
      </c>
      <c r="AP45" s="60">
        <f>$S45*(1/X45)</f>
        <v>1233360462292.5725</v>
      </c>
      <c r="AQ45" s="60">
        <f>$S45*(1/X45)*(1/Z45)</f>
        <v>6166802311.462863</v>
      </c>
      <c r="AR45" s="60">
        <f>$S45*(1/X45)*(1/Z45)*(1/AB45)</f>
        <v>616.68023114628625</v>
      </c>
      <c r="AS45" s="60">
        <f>$S45*(1/X45)*(1/Z45)*(1/AB45)*(1/AD45)</f>
        <v>6.1668023114628623</v>
      </c>
      <c r="AT45" s="5">
        <f>$S45*(1/X45)*(1/Z45)*(1/AB45)*(1/AD45)*(1/AF45)</f>
        <v>6.1668023114628621E-2</v>
      </c>
      <c r="AU45" s="60">
        <f>$S45*(1/X45)*(1/Z45)*(1/AB45)*(1/AD45)*(1/AF45)*(1/AH45)</f>
        <v>6.1668023114628623E-3</v>
      </c>
      <c r="AX45" s="60">
        <f>AO45</f>
        <v>1233360462292.5725</v>
      </c>
      <c r="AY45" s="60">
        <f>AX45*(1/Y45)</f>
        <v>1233360462292.5725</v>
      </c>
      <c r="AZ45" s="60">
        <f>AY45*(1/AA45)</f>
        <v>12333604622.925726</v>
      </c>
      <c r="BA45" s="60">
        <f>AZ45*(1/AC45)</f>
        <v>6166.8023114628622</v>
      </c>
      <c r="BB45" s="60">
        <f>BA45*(1/AE45)</f>
        <v>205.56007704876208</v>
      </c>
      <c r="BC45" s="60">
        <f>BB45*(1/AG45)</f>
        <v>2.0556007704876209</v>
      </c>
      <c r="BD45" s="60">
        <f>BC45*(1/AI45)</f>
        <v>1.0278003852438105</v>
      </c>
    </row>
    <row r="46" spans="2:56" ht="15.75" hidden="1" customHeight="1" x14ac:dyDescent="0.25">
      <c r="B46" s="6" t="s">
        <v>69</v>
      </c>
      <c r="C46" s="23">
        <v>54134</v>
      </c>
      <c r="D46" s="23"/>
      <c r="E46" s="25">
        <v>1.98858E-4</v>
      </c>
      <c r="F46" s="25"/>
      <c r="G46" s="25" t="s">
        <v>15</v>
      </c>
      <c r="H46" s="22" t="s">
        <v>15</v>
      </c>
      <c r="I46" s="20"/>
      <c r="J46" s="14"/>
      <c r="K46" s="17"/>
      <c r="L46" s="17"/>
      <c r="M46" s="12">
        <f t="shared" si="6"/>
        <v>0</v>
      </c>
      <c r="N46" s="8"/>
      <c r="O46" s="30">
        <f t="shared" si="0"/>
        <v>1.0000000000000001E-24</v>
      </c>
      <c r="P46" s="30">
        <f t="shared" si="1"/>
        <v>13978830.671413144</v>
      </c>
      <c r="Q46" s="10">
        <f t="shared" si="2"/>
        <v>1.9885799999999997E+20</v>
      </c>
      <c r="R46" s="10">
        <f t="shared" si="3"/>
        <v>2.7798023096558743E+27</v>
      </c>
      <c r="S46" s="10">
        <f t="shared" si="4"/>
        <v>0</v>
      </c>
      <c r="T46" s="10"/>
      <c r="U46" s="10"/>
      <c r="V46" s="46"/>
      <c r="W46" s="46"/>
      <c r="X46" s="55">
        <v>0.01</v>
      </c>
      <c r="Y46" s="55"/>
      <c r="Z46" s="78">
        <v>0.999</v>
      </c>
      <c r="AA46" s="78"/>
      <c r="AB46" s="78"/>
      <c r="AC46" s="78"/>
      <c r="AD46" s="78"/>
      <c r="AE46" s="78"/>
      <c r="AF46" s="78"/>
      <c r="AG46" s="78"/>
      <c r="AH46" s="78"/>
      <c r="AI46" s="78"/>
      <c r="AJ46" s="46">
        <f>S46*X46*(1-Z46)</f>
        <v>0</v>
      </c>
      <c r="AK46" s="42"/>
      <c r="AL46" s="42"/>
      <c r="AM46" s="42"/>
    </row>
    <row r="47" spans="2:56" ht="15.75" customHeight="1" x14ac:dyDescent="0.25">
      <c r="B47" s="6" t="s">
        <v>136</v>
      </c>
      <c r="C47" s="23">
        <v>93237</v>
      </c>
      <c r="D47" s="23" t="s">
        <v>242</v>
      </c>
      <c r="E47" s="25">
        <v>3.07925E-5</v>
      </c>
      <c r="F47" s="25" t="s">
        <v>225</v>
      </c>
      <c r="G47" s="25" t="s">
        <v>190</v>
      </c>
      <c r="H47" s="6" t="s">
        <v>137</v>
      </c>
      <c r="I47" s="21"/>
      <c r="J47" s="14">
        <v>2.2999999999999998</v>
      </c>
      <c r="K47" s="17"/>
      <c r="L47" s="17"/>
      <c r="M47" s="12">
        <f t="shared" si="6"/>
        <v>198719.99999999997</v>
      </c>
      <c r="N47" s="12">
        <f>LN(2)/(M47)</f>
        <v>3.4880594834940889E-6</v>
      </c>
      <c r="O47" s="30">
        <f t="shared" si="0"/>
        <v>1.0000000000000001E-24</v>
      </c>
      <c r="P47" s="30">
        <f t="shared" si="1"/>
        <v>13978830.671413144</v>
      </c>
      <c r="Q47" s="10">
        <f t="shared" si="2"/>
        <v>3.0792499999999996E+19</v>
      </c>
      <c r="R47" s="10">
        <f t="shared" si="3"/>
        <v>4.3044314344948919E+26</v>
      </c>
      <c r="S47" s="57">
        <f t="shared" si="4"/>
        <v>1.5014112886139972E+21</v>
      </c>
      <c r="T47" s="58">
        <f>S47*0.000000000027</f>
        <v>40538104792.577927</v>
      </c>
      <c r="U47" s="74" t="str">
        <f>D47</f>
        <v>Pu, Actinidos</v>
      </c>
      <c r="V47" s="107">
        <v>3.0000000000000001E-5</v>
      </c>
      <c r="W47" s="107">
        <v>8.0000000000000007E-5</v>
      </c>
      <c r="X47" s="81">
        <v>1</v>
      </c>
      <c r="Y47" s="81">
        <v>1</v>
      </c>
      <c r="Z47" s="82">
        <v>200</v>
      </c>
      <c r="AA47" s="82">
        <v>100</v>
      </c>
      <c r="AB47" s="82">
        <f>10^7</f>
        <v>10000000</v>
      </c>
      <c r="AC47" s="82">
        <f>2000000</f>
        <v>2000000</v>
      </c>
      <c r="AD47" s="82">
        <v>100</v>
      </c>
      <c r="AE47" s="82">
        <v>30</v>
      </c>
      <c r="AF47" s="114">
        <v>100</v>
      </c>
      <c r="AG47" s="114">
        <v>100</v>
      </c>
      <c r="AH47" s="82">
        <v>10</v>
      </c>
      <c r="AI47" s="82">
        <v>2</v>
      </c>
      <c r="AJ47" s="48">
        <f>$S47*(1/X47)*(1/Z47)*(1/AB47)*(1/AD47)*(1/AF47)*(1/AH47)</f>
        <v>7507056.443069987</v>
      </c>
      <c r="AK47" s="48">
        <f>$S47*(1/Y47)*(1/AA47)*(1/AC47)*(1/AE47)*(1/AG47)*(1/AI47)</f>
        <v>1251176073.8449976</v>
      </c>
      <c r="AL47" s="48">
        <f>AK47*0.000000000027</f>
        <v>3.3781753993814938E-2</v>
      </c>
      <c r="AM47" s="48" t="str">
        <f>B47</f>
        <v>Np-237</v>
      </c>
      <c r="AO47" s="60">
        <f>$S47</f>
        <v>1.5014112886139972E+21</v>
      </c>
      <c r="AP47" s="60">
        <f>$S47*(1/X47)</f>
        <v>1.5014112886139972E+21</v>
      </c>
      <c r="AQ47" s="60">
        <f>$S47*(1/X47)*(1/Z47)</f>
        <v>7.5070564430699868E+18</v>
      </c>
      <c r="AR47" s="60">
        <f>$S47*(1/X47)*(1/Z47)*(1/AB47)</f>
        <v>750705644306.99866</v>
      </c>
      <c r="AS47" s="60">
        <f>$S47*(1/X47)*(1/Z47)*(1/AB47)*(1/AD47)</f>
        <v>7507056443.0699863</v>
      </c>
      <c r="AT47" s="5">
        <f>$S47*(1/X47)*(1/Z47)*(1/AB47)*(1/AD47)*(1/AF47)</f>
        <v>75070564.43069987</v>
      </c>
      <c r="AU47" s="60">
        <f>$S47*(1/X47)*(1/Z47)*(1/AB47)*(1/AD47)*(1/AF47)*(1/AH47)</f>
        <v>7507056.443069987</v>
      </c>
      <c r="AX47" s="60">
        <f>AO47</f>
        <v>1.5014112886139972E+21</v>
      </c>
      <c r="AY47" s="60">
        <f>AX47*(1/Y47)</f>
        <v>1.5014112886139972E+21</v>
      </c>
      <c r="AZ47" s="60">
        <f>AY47*(1/AA47)</f>
        <v>1.5014112886139974E+19</v>
      </c>
      <c r="BA47" s="60">
        <f>AZ47*(1/AC47)</f>
        <v>7507056443069.9863</v>
      </c>
      <c r="BB47" s="60">
        <f>BA47*(1/AE47)</f>
        <v>250235214768.99954</v>
      </c>
      <c r="BC47" s="60">
        <f>BB47*(1/AG47)</f>
        <v>2502352147.6899953</v>
      </c>
      <c r="BD47" s="60">
        <f>BC47*(1/AI47)</f>
        <v>1251176073.8449976</v>
      </c>
    </row>
    <row r="48" spans="2:56" ht="15.75" hidden="1" customHeight="1" x14ac:dyDescent="0.25">
      <c r="B48" s="6" t="s">
        <v>72</v>
      </c>
      <c r="C48" s="23">
        <v>54136</v>
      </c>
      <c r="D48" s="23"/>
      <c r="E48" s="25">
        <v>3.0783699999999999E-4</v>
      </c>
      <c r="F48" s="25"/>
      <c r="G48" s="25" t="s">
        <v>15</v>
      </c>
      <c r="H48" s="22" t="s">
        <v>15</v>
      </c>
      <c r="I48" s="20"/>
      <c r="J48" s="14"/>
      <c r="K48" s="17"/>
      <c r="L48" s="17"/>
      <c r="M48" s="12">
        <f t="shared" si="6"/>
        <v>0</v>
      </c>
      <c r="N48" s="8"/>
      <c r="O48" s="30">
        <f t="shared" si="0"/>
        <v>1.0000000000000001E-24</v>
      </c>
      <c r="P48" s="30">
        <f t="shared" si="1"/>
        <v>13978830.671413144</v>
      </c>
      <c r="Q48" s="10">
        <f t="shared" si="2"/>
        <v>3.0783699999999997E+20</v>
      </c>
      <c r="R48" s="10">
        <f t="shared" si="3"/>
        <v>4.3032012973958077E+27</v>
      </c>
      <c r="S48" s="10">
        <f t="shared" si="4"/>
        <v>0</v>
      </c>
      <c r="T48" s="10"/>
      <c r="U48" s="10"/>
      <c r="V48" s="43"/>
      <c r="W48" s="43"/>
      <c r="X48" s="50">
        <v>0.01</v>
      </c>
      <c r="Y48" s="50"/>
      <c r="Z48" s="51">
        <v>0.999</v>
      </c>
      <c r="AA48" s="51"/>
      <c r="AB48" s="51"/>
      <c r="AC48" s="51"/>
      <c r="AD48" s="51"/>
      <c r="AE48" s="51"/>
      <c r="AF48" s="51"/>
      <c r="AG48" s="51"/>
      <c r="AH48" s="51"/>
      <c r="AI48" s="51"/>
      <c r="AJ48" s="43">
        <f>S48*X48*(1-Z48)</f>
        <v>0</v>
      </c>
      <c r="AK48" s="42"/>
      <c r="AL48" s="42"/>
      <c r="AM48" s="42"/>
    </row>
    <row r="49" spans="2:56" ht="15.75" hidden="1" customHeight="1" x14ac:dyDescent="0.25">
      <c r="B49" s="6" t="s">
        <v>73</v>
      </c>
      <c r="C49" s="23">
        <v>55133</v>
      </c>
      <c r="D49" s="23"/>
      <c r="E49" s="25">
        <v>1.42793E-4</v>
      </c>
      <c r="F49" s="25"/>
      <c r="G49" s="25" t="s">
        <v>15</v>
      </c>
      <c r="H49" s="22" t="s">
        <v>15</v>
      </c>
      <c r="I49" s="20"/>
      <c r="J49" s="14"/>
      <c r="K49" s="17"/>
      <c r="L49" s="17"/>
      <c r="M49" s="12">
        <f t="shared" si="6"/>
        <v>0</v>
      </c>
      <c r="N49" s="8"/>
      <c r="O49" s="30">
        <f t="shared" si="0"/>
        <v>1.0000000000000001E-24</v>
      </c>
      <c r="P49" s="30">
        <f t="shared" si="1"/>
        <v>13978830.671413144</v>
      </c>
      <c r="Q49" s="10">
        <f t="shared" si="2"/>
        <v>1.4279299999999998E+20</v>
      </c>
      <c r="R49" s="10">
        <f t="shared" si="3"/>
        <v>1.9960791680630969E+27</v>
      </c>
      <c r="S49" s="10">
        <f t="shared" si="4"/>
        <v>0</v>
      </c>
      <c r="T49" s="10"/>
      <c r="U49" s="10"/>
      <c r="V49" s="10"/>
      <c r="W49" s="10"/>
      <c r="X49" s="9">
        <v>0.01</v>
      </c>
      <c r="Y49" s="9"/>
      <c r="Z49" s="11">
        <v>0.999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0">
        <f>S49*X49*(1-Z49)</f>
        <v>0</v>
      </c>
      <c r="AK49" s="42"/>
      <c r="AL49" s="42"/>
      <c r="AM49" s="42"/>
    </row>
    <row r="50" spans="2:56" ht="15.75" hidden="1" customHeight="1" x14ac:dyDescent="0.25">
      <c r="B50" s="6" t="s">
        <v>75</v>
      </c>
      <c r="C50" s="23">
        <v>55134</v>
      </c>
      <c r="D50" s="23"/>
      <c r="E50" s="25">
        <v>1.7268599999999999E-5</v>
      </c>
      <c r="F50" s="25" t="s">
        <v>215</v>
      </c>
      <c r="G50" s="25" t="s">
        <v>168</v>
      </c>
      <c r="H50" s="6" t="s">
        <v>74</v>
      </c>
      <c r="I50" s="20"/>
      <c r="J50" s="14"/>
      <c r="K50" s="17"/>
      <c r="L50" s="17"/>
      <c r="M50" s="12">
        <f t="shared" si="6"/>
        <v>0</v>
      </c>
      <c r="N50" s="8"/>
      <c r="O50" s="30">
        <f t="shared" si="0"/>
        <v>1.0000000000000001E-24</v>
      </c>
      <c r="P50" s="30">
        <f t="shared" si="1"/>
        <v>13978830.671413144</v>
      </c>
      <c r="Q50" s="10">
        <f t="shared" si="2"/>
        <v>1.7268599999999998E+19</v>
      </c>
      <c r="R50" s="10">
        <f t="shared" si="3"/>
        <v>2.4139483533236498E+26</v>
      </c>
      <c r="S50" s="10">
        <f t="shared" si="4"/>
        <v>0</v>
      </c>
      <c r="T50" s="10"/>
      <c r="U50" s="10"/>
      <c r="V50" s="45"/>
      <c r="W50" s="45"/>
      <c r="X50" s="54">
        <v>0.01</v>
      </c>
      <c r="Y50" s="54"/>
      <c r="Z50" s="77">
        <v>0.999</v>
      </c>
      <c r="AA50" s="77"/>
      <c r="AB50" s="77"/>
      <c r="AC50" s="77"/>
      <c r="AD50" s="77"/>
      <c r="AE50" s="77"/>
      <c r="AF50" s="77"/>
      <c r="AG50" s="77"/>
      <c r="AH50" s="77"/>
      <c r="AI50" s="77"/>
      <c r="AJ50" s="45">
        <f>S50*X50*(1-Z50)</f>
        <v>0</v>
      </c>
      <c r="AK50" s="42"/>
      <c r="AL50" s="42"/>
      <c r="AM50" s="42"/>
    </row>
    <row r="51" spans="2:56" ht="15.75" customHeight="1" x14ac:dyDescent="0.25">
      <c r="B51" s="6" t="s">
        <v>138</v>
      </c>
      <c r="C51" s="23">
        <v>93239</v>
      </c>
      <c r="D51" s="23" t="s">
        <v>242</v>
      </c>
      <c r="E51" s="25">
        <v>1.7189499999999999E-5</v>
      </c>
      <c r="F51" s="25" t="s">
        <v>226</v>
      </c>
      <c r="G51" s="25" t="s">
        <v>191</v>
      </c>
      <c r="H51" s="7" t="s">
        <v>139</v>
      </c>
      <c r="I51" s="21"/>
      <c r="J51" s="14"/>
      <c r="K51" s="17"/>
      <c r="L51" s="17">
        <v>24.1</v>
      </c>
      <c r="M51" s="12">
        <f t="shared" si="6"/>
        <v>1446</v>
      </c>
      <c r="N51" s="12">
        <f>LN(2)/(M51)</f>
        <v>4.7935489665279756E-4</v>
      </c>
      <c r="O51" s="30">
        <f t="shared" si="0"/>
        <v>1.0000000000000001E-24</v>
      </c>
      <c r="P51" s="30">
        <f t="shared" si="1"/>
        <v>13978830.671413144</v>
      </c>
      <c r="Q51" s="10">
        <f t="shared" si="2"/>
        <v>1.7189499999999996E+19</v>
      </c>
      <c r="R51" s="10">
        <f t="shared" si="3"/>
        <v>2.402891098262562E+26</v>
      </c>
      <c r="S51" s="57">
        <f t="shared" si="4"/>
        <v>1.1518376140755776E+23</v>
      </c>
      <c r="T51" s="58">
        <f t="shared" ref="T51:T54" si="15">S51*0.000000000027</f>
        <v>3109961558004.0596</v>
      </c>
      <c r="U51" s="74" t="str">
        <f t="shared" ref="U51:U54" si="16">D51</f>
        <v>Pu, Actinidos</v>
      </c>
      <c r="V51" s="107">
        <v>3.0000000000000001E-5</v>
      </c>
      <c r="W51" s="107">
        <v>8.0000000000000007E-5</v>
      </c>
      <c r="X51" s="81">
        <v>1</v>
      </c>
      <c r="Y51" s="81">
        <v>1</v>
      </c>
      <c r="Z51" s="82">
        <v>200</v>
      </c>
      <c r="AA51" s="82">
        <v>100</v>
      </c>
      <c r="AB51" s="82">
        <f t="shared" ref="AB51:AB54" si="17">10^7</f>
        <v>10000000</v>
      </c>
      <c r="AC51" s="82">
        <f t="shared" ref="AC51:AC54" si="18">2000000</f>
        <v>2000000</v>
      </c>
      <c r="AD51" s="82">
        <v>100</v>
      </c>
      <c r="AE51" s="82">
        <v>30</v>
      </c>
      <c r="AF51" s="114">
        <v>100</v>
      </c>
      <c r="AG51" s="114">
        <v>100</v>
      </c>
      <c r="AH51" s="82">
        <v>10</v>
      </c>
      <c r="AI51" s="82">
        <v>2</v>
      </c>
      <c r="AJ51" s="48">
        <f t="shared" ref="AJ51:AJ54" si="19">$S51*(1/X51)*(1/Z51)*(1/AB51)*(1/AD51)*(1/AF51)*(1/AH51)</f>
        <v>575918807.03778887</v>
      </c>
      <c r="AK51" s="48">
        <f t="shared" ref="AK51:AK54" si="20">$S51*(1/Y51)*(1/AA51)*(1/AC51)*(1/AE51)*(1/AG51)*(1/AI51)</f>
        <v>95986467839.63147</v>
      </c>
      <c r="AL51" s="48">
        <f t="shared" ref="AL51:AL54" si="21">AK51*0.000000000027</f>
        <v>2.5916346316700496</v>
      </c>
      <c r="AM51" s="48" t="str">
        <f>B51</f>
        <v>Np-239</v>
      </c>
      <c r="AO51" s="60">
        <f t="shared" ref="AO51:AO54" si="22">$S51</f>
        <v>1.1518376140755776E+23</v>
      </c>
      <c r="AP51" s="60">
        <f>$S51*(1/X51)</f>
        <v>1.1518376140755776E+23</v>
      </c>
      <c r="AQ51" s="60">
        <f>$S51*(1/X51)*(1/Z51)</f>
        <v>5.7591880703778882E+20</v>
      </c>
      <c r="AR51" s="60">
        <f>$S51*(1/X51)*(1/Z51)*(1/AB51)</f>
        <v>57591880703778.883</v>
      </c>
      <c r="AS51" s="60">
        <f>$S51*(1/X51)*(1/Z51)*(1/AB51)*(1/AD51)</f>
        <v>575918807037.78882</v>
      </c>
      <c r="AT51" s="5">
        <f>$S51*(1/X51)*(1/Z51)*(1/AB51)*(1/AD51)*(1/AF51)</f>
        <v>5759188070.3778887</v>
      </c>
      <c r="AU51" s="60">
        <f t="shared" ref="AU51:AU54" si="23">$S51*(1/X51)*(1/Z51)*(1/AB51)*(1/AD51)*(1/AF51)*(1/AH51)</f>
        <v>575918807.03778887</v>
      </c>
      <c r="AX51" s="60">
        <f>AO51</f>
        <v>1.1518376140755776E+23</v>
      </c>
      <c r="AY51" s="60">
        <f>AX51*(1/Y51)</f>
        <v>1.1518376140755776E+23</v>
      </c>
      <c r="AZ51" s="60">
        <f>AY51*(1/AA51)</f>
        <v>1.1518376140755776E+21</v>
      </c>
      <c r="BA51" s="60">
        <f>AZ51*(1/AC51)</f>
        <v>575918807037788.75</v>
      </c>
      <c r="BB51" s="60">
        <f>BA51*(1/AE51)</f>
        <v>19197293567926.293</v>
      </c>
      <c r="BC51" s="60">
        <f>BB51*(1/AG51)</f>
        <v>191972935679.26294</v>
      </c>
      <c r="BD51" s="60">
        <f t="shared" ref="BD51:BD54" si="24">BC51*(1/AI51)</f>
        <v>95986467839.63147</v>
      </c>
    </row>
    <row r="52" spans="2:56" ht="15.75" customHeight="1" x14ac:dyDescent="0.25">
      <c r="B52" s="6" t="s">
        <v>140</v>
      </c>
      <c r="C52" s="23">
        <v>94238</v>
      </c>
      <c r="D52" s="23" t="s">
        <v>242</v>
      </c>
      <c r="E52" s="25">
        <v>8.2998699999999995E-6</v>
      </c>
      <c r="F52" s="25" t="s">
        <v>227</v>
      </c>
      <c r="G52" s="25" t="s">
        <v>192</v>
      </c>
      <c r="H52" s="7" t="s">
        <v>141</v>
      </c>
      <c r="I52" s="21">
        <v>87.7</v>
      </c>
      <c r="J52" s="14"/>
      <c r="K52" s="17"/>
      <c r="L52" s="17"/>
      <c r="M52" s="12">
        <f t="shared" si="6"/>
        <v>2765707200</v>
      </c>
      <c r="N52" s="12">
        <f>LN(2)/(M52)</f>
        <v>2.506220400192563E-10</v>
      </c>
      <c r="O52" s="30">
        <f t="shared" si="0"/>
        <v>1.0000000000000001E-24</v>
      </c>
      <c r="P52" s="30">
        <f t="shared" si="1"/>
        <v>13978830.671413144</v>
      </c>
      <c r="Q52" s="10">
        <f t="shared" si="2"/>
        <v>8.299869999999999E+18</v>
      </c>
      <c r="R52" s="10">
        <f t="shared" si="3"/>
        <v>1.160224773247418E+26</v>
      </c>
      <c r="S52" s="57">
        <f t="shared" si="4"/>
        <v>2.9077789955214696E+16</v>
      </c>
      <c r="T52" s="58">
        <f t="shared" si="15"/>
        <v>785100.3287907968</v>
      </c>
      <c r="U52" s="74" t="str">
        <f t="shared" si="16"/>
        <v>Pu, Actinidos</v>
      </c>
      <c r="V52" s="107">
        <v>3.0000000000000001E-5</v>
      </c>
      <c r="W52" s="107">
        <v>8.0000000000000007E-5</v>
      </c>
      <c r="X52" s="81">
        <v>1</v>
      </c>
      <c r="Y52" s="81">
        <v>1</v>
      </c>
      <c r="Z52" s="82">
        <v>200</v>
      </c>
      <c r="AA52" s="82">
        <v>100</v>
      </c>
      <c r="AB52" s="82">
        <f t="shared" si="17"/>
        <v>10000000</v>
      </c>
      <c r="AC52" s="82">
        <f t="shared" si="18"/>
        <v>2000000</v>
      </c>
      <c r="AD52" s="82">
        <v>100</v>
      </c>
      <c r="AE52" s="82">
        <v>30</v>
      </c>
      <c r="AF52" s="114">
        <v>100</v>
      </c>
      <c r="AG52" s="114">
        <v>100</v>
      </c>
      <c r="AH52" s="82">
        <v>10</v>
      </c>
      <c r="AI52" s="82">
        <v>2</v>
      </c>
      <c r="AJ52" s="48">
        <f t="shared" si="19"/>
        <v>145.3889497760735</v>
      </c>
      <c r="AK52" s="48">
        <f t="shared" si="20"/>
        <v>24231.491629345575</v>
      </c>
      <c r="AL52" s="48">
        <f t="shared" si="21"/>
        <v>6.542502739923305E-7</v>
      </c>
      <c r="AM52" s="48" t="str">
        <f>B52</f>
        <v>Pu-238</v>
      </c>
      <c r="AO52" s="60">
        <f t="shared" si="22"/>
        <v>2.9077789955214696E+16</v>
      </c>
      <c r="AP52" s="60">
        <f>$S52*(1/X52)</f>
        <v>2.9077789955214696E+16</v>
      </c>
      <c r="AQ52" s="60">
        <f>$S52*(1/X52)*(1/Z52)</f>
        <v>145388949776073.47</v>
      </c>
      <c r="AR52" s="60">
        <f>$S52*(1/X52)*(1/Z52)*(1/AB52)</f>
        <v>14538894.977607347</v>
      </c>
      <c r="AS52" s="60">
        <f>$S52*(1/X52)*(1/Z52)*(1/AB52)*(1/AD52)</f>
        <v>145388.94977607348</v>
      </c>
      <c r="AT52" s="5">
        <f>$S52*(1/X52)*(1/Z52)*(1/AB52)*(1/AD52)*(1/AF52)</f>
        <v>1453.8894977607349</v>
      </c>
      <c r="AU52" s="60">
        <f t="shared" si="23"/>
        <v>145.3889497760735</v>
      </c>
      <c r="AX52" s="60">
        <f>AO52</f>
        <v>2.9077789955214696E+16</v>
      </c>
      <c r="AY52" s="60">
        <f>AX52*(1/Y52)</f>
        <v>2.9077789955214696E+16</v>
      </c>
      <c r="AZ52" s="60">
        <f>AY52*(1/AA52)</f>
        <v>290777899552146.94</v>
      </c>
      <c r="BA52" s="60">
        <f>AZ52*(1/AC52)</f>
        <v>145388949.77607346</v>
      </c>
      <c r="BB52" s="60">
        <f>BA52*(1/AE52)</f>
        <v>4846298.3258691151</v>
      </c>
      <c r="BC52" s="60">
        <f>BB52*(1/AG52)</f>
        <v>48462.983258691151</v>
      </c>
      <c r="BD52" s="60">
        <f t="shared" si="24"/>
        <v>24231.491629345575</v>
      </c>
    </row>
    <row r="53" spans="2:56" ht="15.75" customHeight="1" x14ac:dyDescent="0.25">
      <c r="B53" s="6" t="s">
        <v>142</v>
      </c>
      <c r="C53" s="23">
        <v>94239</v>
      </c>
      <c r="D53" s="23" t="s">
        <v>242</v>
      </c>
      <c r="E53" s="25">
        <v>2.5854699999999998E-4</v>
      </c>
      <c r="F53" s="25" t="s">
        <v>228</v>
      </c>
      <c r="G53" s="25" t="s">
        <v>193</v>
      </c>
      <c r="H53" s="7" t="s">
        <v>143</v>
      </c>
      <c r="I53" s="21">
        <v>24100</v>
      </c>
      <c r="J53" s="14"/>
      <c r="K53" s="17"/>
      <c r="L53" s="17"/>
      <c r="M53" s="12">
        <f t="shared" si="6"/>
        <v>760017600000</v>
      </c>
      <c r="N53" s="12">
        <f>LN(2)/(M53)</f>
        <v>9.1201464355555088E-13</v>
      </c>
      <c r="O53" s="30">
        <f t="shared" si="0"/>
        <v>1.0000000000000001E-24</v>
      </c>
      <c r="P53" s="30">
        <f t="shared" si="1"/>
        <v>13978830.671413144</v>
      </c>
      <c r="Q53" s="10">
        <f t="shared" si="2"/>
        <v>2.5854699999999993E+20</v>
      </c>
      <c r="R53" s="10">
        <f t="shared" si="3"/>
        <v>3.6141847336018531E+27</v>
      </c>
      <c r="S53" s="57">
        <f t="shared" si="4"/>
        <v>3296189401559807.5</v>
      </c>
      <c r="T53" s="58">
        <f t="shared" si="15"/>
        <v>88997.113842114806</v>
      </c>
      <c r="U53" s="74" t="str">
        <f t="shared" si="16"/>
        <v>Pu, Actinidos</v>
      </c>
      <c r="V53" s="107">
        <v>3.0000000000000001E-5</v>
      </c>
      <c r="W53" s="107">
        <v>8.0000000000000007E-5</v>
      </c>
      <c r="X53" s="81">
        <v>1</v>
      </c>
      <c r="Y53" s="81">
        <v>1</v>
      </c>
      <c r="Z53" s="82">
        <v>200</v>
      </c>
      <c r="AA53" s="82">
        <v>100</v>
      </c>
      <c r="AB53" s="82">
        <f t="shared" si="17"/>
        <v>10000000</v>
      </c>
      <c r="AC53" s="82">
        <f t="shared" si="18"/>
        <v>2000000</v>
      </c>
      <c r="AD53" s="82">
        <v>100</v>
      </c>
      <c r="AE53" s="82">
        <v>30</v>
      </c>
      <c r="AF53" s="114">
        <v>100</v>
      </c>
      <c r="AG53" s="114">
        <v>100</v>
      </c>
      <c r="AH53" s="82">
        <v>10</v>
      </c>
      <c r="AI53" s="82">
        <v>2</v>
      </c>
      <c r="AJ53" s="48">
        <f t="shared" si="19"/>
        <v>16.480947007799038</v>
      </c>
      <c r="AK53" s="48">
        <f t="shared" si="20"/>
        <v>2746.8245012998395</v>
      </c>
      <c r="AL53" s="48">
        <f t="shared" si="21"/>
        <v>7.4164261535095669E-8</v>
      </c>
      <c r="AM53" s="48" t="str">
        <f>B53</f>
        <v>Pu-239</v>
      </c>
      <c r="AO53" s="60">
        <f t="shared" si="22"/>
        <v>3296189401559807.5</v>
      </c>
      <c r="AP53" s="60">
        <f>$S53*(1/X53)</f>
        <v>3296189401559807.5</v>
      </c>
      <c r="AQ53" s="60">
        <f>$S53*(1/X53)*(1/Z53)</f>
        <v>16480947007799.037</v>
      </c>
      <c r="AR53" s="60">
        <f>$S53*(1/X53)*(1/Z53)*(1/AB53)</f>
        <v>1648094.7007799037</v>
      </c>
      <c r="AS53" s="60">
        <f>$S53*(1/X53)*(1/Z53)*(1/AB53)*(1/AD53)</f>
        <v>16480.947007799037</v>
      </c>
      <c r="AT53" s="5">
        <f>$S53*(1/X53)*(1/Z53)*(1/AB53)*(1/AD53)*(1/AF53)</f>
        <v>164.80947007799037</v>
      </c>
      <c r="AU53" s="60">
        <f t="shared" si="23"/>
        <v>16.480947007799038</v>
      </c>
      <c r="AX53" s="60">
        <f>AO53</f>
        <v>3296189401559807.5</v>
      </c>
      <c r="AY53" s="60">
        <f>AX53*(1/Y53)</f>
        <v>3296189401559807.5</v>
      </c>
      <c r="AZ53" s="60">
        <f>AY53*(1/AA53)</f>
        <v>32961894015598.074</v>
      </c>
      <c r="BA53" s="60">
        <f>AZ53*(1/AC53)</f>
        <v>16480947.007799037</v>
      </c>
      <c r="BB53" s="60">
        <f>BA53*(1/AE53)</f>
        <v>549364.90025996789</v>
      </c>
      <c r="BC53" s="60">
        <f>BB53*(1/AG53)</f>
        <v>5493.6490025996791</v>
      </c>
      <c r="BD53" s="60">
        <f t="shared" si="24"/>
        <v>2746.8245012998395</v>
      </c>
    </row>
    <row r="54" spans="2:56" ht="15.75" customHeight="1" x14ac:dyDescent="0.25">
      <c r="B54" s="6" t="s">
        <v>144</v>
      </c>
      <c r="C54" s="23">
        <v>94240</v>
      </c>
      <c r="D54" s="23" t="s">
        <v>242</v>
      </c>
      <c r="E54" s="25">
        <v>7.8549999999999998E-5</v>
      </c>
      <c r="F54" s="25" t="s">
        <v>229</v>
      </c>
      <c r="G54" s="25" t="s">
        <v>194</v>
      </c>
      <c r="H54" s="7" t="s">
        <v>145</v>
      </c>
      <c r="I54" s="21">
        <v>6560</v>
      </c>
      <c r="J54" s="14"/>
      <c r="K54" s="17"/>
      <c r="L54" s="17"/>
      <c r="M54" s="12">
        <f t="shared" si="6"/>
        <v>206876160000</v>
      </c>
      <c r="N54" s="12">
        <f>LN(2)/(M54)</f>
        <v>3.3505416020867037E-12</v>
      </c>
      <c r="O54" s="30">
        <f t="shared" si="0"/>
        <v>1.0000000000000001E-24</v>
      </c>
      <c r="P54" s="30">
        <f t="shared" si="1"/>
        <v>13978830.671413144</v>
      </c>
      <c r="Q54" s="10">
        <f t="shared" si="2"/>
        <v>7.8549999999999984E+19</v>
      </c>
      <c r="R54" s="10">
        <f t="shared" si="3"/>
        <v>1.0980371492395022E+27</v>
      </c>
      <c r="S54" s="57">
        <f t="shared" si="4"/>
        <v>3679019149163639</v>
      </c>
      <c r="T54" s="58">
        <f t="shared" si="15"/>
        <v>99333.51702741826</v>
      </c>
      <c r="U54" s="74" t="str">
        <f t="shared" si="16"/>
        <v>Pu, Actinidos</v>
      </c>
      <c r="V54" s="107">
        <v>3.0000000000000001E-5</v>
      </c>
      <c r="W54" s="107">
        <v>8.0000000000000007E-5</v>
      </c>
      <c r="X54" s="81">
        <v>1</v>
      </c>
      <c r="Y54" s="81">
        <v>1</v>
      </c>
      <c r="Z54" s="82">
        <v>200</v>
      </c>
      <c r="AA54" s="82">
        <v>100</v>
      </c>
      <c r="AB54" s="82">
        <f t="shared" si="17"/>
        <v>10000000</v>
      </c>
      <c r="AC54" s="82">
        <f t="shared" si="18"/>
        <v>2000000</v>
      </c>
      <c r="AD54" s="82">
        <v>100</v>
      </c>
      <c r="AE54" s="82">
        <v>30</v>
      </c>
      <c r="AF54" s="114">
        <v>100</v>
      </c>
      <c r="AG54" s="114">
        <v>100</v>
      </c>
      <c r="AH54" s="82">
        <v>10</v>
      </c>
      <c r="AI54" s="82">
        <v>2</v>
      </c>
      <c r="AJ54" s="48">
        <f t="shared" si="19"/>
        <v>18.395095745818196</v>
      </c>
      <c r="AK54" s="48">
        <f t="shared" si="20"/>
        <v>3065.8492909696988</v>
      </c>
      <c r="AL54" s="48">
        <f t="shared" si="21"/>
        <v>8.2777930856181869E-8</v>
      </c>
      <c r="AM54" s="48" t="str">
        <f>B54</f>
        <v>Pu-240</v>
      </c>
      <c r="AO54" s="60">
        <f t="shared" si="22"/>
        <v>3679019149163639</v>
      </c>
      <c r="AP54" s="60">
        <f>$S54*(1/X54)</f>
        <v>3679019149163639</v>
      </c>
      <c r="AQ54" s="60">
        <f>$S54*(1/X54)*(1/Z54)</f>
        <v>18395095745818.195</v>
      </c>
      <c r="AR54" s="60">
        <f>$S54*(1/X54)*(1/Z54)*(1/AB54)</f>
        <v>1839509.5745818194</v>
      </c>
      <c r="AS54" s="60">
        <f>$S54*(1/X54)*(1/Z54)*(1/AB54)*(1/AD54)</f>
        <v>18395.095745818195</v>
      </c>
      <c r="AT54" s="5">
        <f>$S54*(1/X54)*(1/Z54)*(1/AB54)*(1/AD54)*(1/AF54)</f>
        <v>183.95095745818196</v>
      </c>
      <c r="AU54" s="60">
        <f t="shared" si="23"/>
        <v>18.395095745818196</v>
      </c>
      <c r="AX54" s="60">
        <f>AO54</f>
        <v>3679019149163639</v>
      </c>
      <c r="AY54" s="60">
        <f>AX54*(1/Y54)</f>
        <v>3679019149163639</v>
      </c>
      <c r="AZ54" s="60">
        <f>AY54*(1/AA54)</f>
        <v>36790191491636.391</v>
      </c>
      <c r="BA54" s="60">
        <f>AZ54*(1/AC54)</f>
        <v>18395095.745818194</v>
      </c>
      <c r="BB54" s="60">
        <f>BA54*(1/AE54)</f>
        <v>613169.85819393978</v>
      </c>
      <c r="BC54" s="60">
        <f>BB54*(1/AG54)</f>
        <v>6131.6985819393976</v>
      </c>
      <c r="BD54" s="60">
        <f t="shared" si="24"/>
        <v>3065.8492909696988</v>
      </c>
    </row>
    <row r="55" spans="2:56" ht="15.75" hidden="1" customHeight="1" x14ac:dyDescent="0.25">
      <c r="B55" s="6" t="s">
        <v>83</v>
      </c>
      <c r="C55" s="23">
        <v>57139</v>
      </c>
      <c r="D55" s="23"/>
      <c r="E55" s="25">
        <v>1.56365E-4</v>
      </c>
      <c r="F55" s="25"/>
      <c r="G55" s="25" t="s">
        <v>15</v>
      </c>
      <c r="H55" s="22" t="s">
        <v>15</v>
      </c>
      <c r="I55" s="20"/>
      <c r="J55" s="14"/>
      <c r="K55" s="17"/>
      <c r="L55" s="17"/>
      <c r="M55" s="12">
        <f t="shared" si="6"/>
        <v>0</v>
      </c>
      <c r="N55" s="8"/>
      <c r="O55" s="30">
        <f t="shared" si="0"/>
        <v>1.0000000000000001E-24</v>
      </c>
      <c r="P55" s="30">
        <f t="shared" si="1"/>
        <v>13978830.671413144</v>
      </c>
      <c r="Q55" s="10">
        <f t="shared" si="2"/>
        <v>1.5636499999999997E+20</v>
      </c>
      <c r="R55" s="10">
        <f t="shared" si="3"/>
        <v>2.1857998579355157E+27</v>
      </c>
      <c r="S55" s="10">
        <f t="shared" si="4"/>
        <v>0</v>
      </c>
      <c r="T55" s="10"/>
      <c r="U55" s="10"/>
      <c r="V55" s="46"/>
      <c r="W55" s="46"/>
      <c r="X55" s="55">
        <v>0.01</v>
      </c>
      <c r="Y55" s="55"/>
      <c r="Z55" s="78">
        <v>0.999</v>
      </c>
      <c r="AA55" s="78"/>
      <c r="AB55" s="78"/>
      <c r="AC55" s="78"/>
      <c r="AD55" s="78"/>
      <c r="AE55" s="78"/>
      <c r="AF55" s="78"/>
      <c r="AG55" s="78"/>
      <c r="AH55" s="78"/>
      <c r="AI55" s="78"/>
      <c r="AJ55" s="46">
        <f>S55*X55*(1-Z55)</f>
        <v>0</v>
      </c>
      <c r="AK55" s="42"/>
      <c r="AL55" s="42"/>
      <c r="AM55" s="42"/>
    </row>
    <row r="56" spans="2:56" ht="15.75" customHeight="1" x14ac:dyDescent="0.25">
      <c r="B56" s="6" t="s">
        <v>146</v>
      </c>
      <c r="C56" s="23">
        <v>94241</v>
      </c>
      <c r="D56" s="23" t="s">
        <v>242</v>
      </c>
      <c r="E56" s="25">
        <v>7.8057499999999996E-5</v>
      </c>
      <c r="F56" s="25" t="s">
        <v>230</v>
      </c>
      <c r="G56" s="25" t="s">
        <v>195</v>
      </c>
      <c r="H56" s="7" t="s">
        <v>147</v>
      </c>
      <c r="I56" s="21">
        <v>14.3</v>
      </c>
      <c r="J56" s="14"/>
      <c r="K56" s="17"/>
      <c r="L56" s="17"/>
      <c r="M56" s="12">
        <f t="shared" si="6"/>
        <v>450964800</v>
      </c>
      <c r="N56" s="12">
        <f t="shared" ref="N56:N67" si="25">LN(2)/(M56)</f>
        <v>1.5370316720062083E-9</v>
      </c>
      <c r="O56" s="30">
        <f t="shared" si="0"/>
        <v>1.0000000000000001E-24</v>
      </c>
      <c r="P56" s="30">
        <f t="shared" si="1"/>
        <v>13978830.671413144</v>
      </c>
      <c r="Q56" s="10">
        <f t="shared" si="2"/>
        <v>7.8057499999999984E+19</v>
      </c>
      <c r="R56" s="10">
        <f t="shared" si="3"/>
        <v>1.0911525751338312E+27</v>
      </c>
      <c r="S56" s="57">
        <f t="shared" si="4"/>
        <v>1.6771360669718323E+18</v>
      </c>
      <c r="T56" s="58">
        <f t="shared" ref="T56:T65" si="26">S56*0.000000000027</f>
        <v>45282673.808239475</v>
      </c>
      <c r="U56" s="74" t="str">
        <f t="shared" ref="U56:U67" si="27">D56</f>
        <v>Pu, Actinidos</v>
      </c>
      <c r="V56" s="107">
        <v>3.0000000000000001E-5</v>
      </c>
      <c r="W56" s="107">
        <v>8.0000000000000007E-5</v>
      </c>
      <c r="X56" s="81">
        <v>1</v>
      </c>
      <c r="Y56" s="81">
        <v>1</v>
      </c>
      <c r="Z56" s="82">
        <v>200</v>
      </c>
      <c r="AA56" s="82">
        <v>100</v>
      </c>
      <c r="AB56" s="82">
        <f t="shared" ref="AB56:AB59" si="28">10^7</f>
        <v>10000000</v>
      </c>
      <c r="AC56" s="82">
        <f t="shared" ref="AC56:AC59" si="29">2000000</f>
        <v>2000000</v>
      </c>
      <c r="AD56" s="82">
        <v>100</v>
      </c>
      <c r="AE56" s="82">
        <v>30</v>
      </c>
      <c r="AF56" s="114">
        <v>100</v>
      </c>
      <c r="AG56" s="114">
        <v>100</v>
      </c>
      <c r="AH56" s="82">
        <v>10</v>
      </c>
      <c r="AI56" s="82">
        <v>2</v>
      </c>
      <c r="AJ56" s="48">
        <f t="shared" ref="AJ56:AJ65" si="30">$S56*(1/X56)*(1/Z56)*(1/AB56)*(1/AD56)*(1/AF56)*(1/AH56)</f>
        <v>8385.680334859162</v>
      </c>
      <c r="AK56" s="48">
        <f t="shared" ref="AK56:AK65" si="31">$S56*(1/Y56)*(1/AA56)*(1/AC56)*(1/AE56)*(1/AG56)*(1/AI56)</f>
        <v>1397613.3891431936</v>
      </c>
      <c r="AL56" s="48">
        <f t="shared" ref="AL56:AL65" si="32">AK56*0.000000000027</f>
        <v>3.7735561506866228E-5</v>
      </c>
      <c r="AM56" s="48" t="str">
        <f t="shared" ref="AM56:AM65" si="33">B56</f>
        <v>Pu-241</v>
      </c>
      <c r="AO56" s="60">
        <f t="shared" ref="AO56:AO65" si="34">$S56</f>
        <v>1.6771360669718323E+18</v>
      </c>
      <c r="AP56" s="60">
        <f t="shared" ref="AP56:AP65" si="35">$S56*(1/X56)</f>
        <v>1.6771360669718323E+18</v>
      </c>
      <c r="AQ56" s="60">
        <f t="shared" ref="AQ56:AQ65" si="36">$S56*(1/X56)*(1/Z56)</f>
        <v>8385680334859162</v>
      </c>
      <c r="AR56" s="60">
        <f t="shared" ref="AR56:AR65" si="37">$S56*(1/X56)*(1/Z56)*(1/AB56)</f>
        <v>838568033.48591614</v>
      </c>
      <c r="AS56" s="60">
        <f t="shared" ref="AS56:AS65" si="38">$S56*(1/X56)*(1/Z56)*(1/AB56)*(1/AD56)</f>
        <v>8385680.3348591616</v>
      </c>
      <c r="AT56" s="5">
        <f t="shared" ref="AT56:AT65" si="39">$S56*(1/X56)*(1/Z56)*(1/AB56)*(1/AD56)*(1/AF56)</f>
        <v>83856.803348591624</v>
      </c>
      <c r="AU56" s="60">
        <f t="shared" ref="AU56:AU65" si="40">$S56*(1/X56)*(1/Z56)*(1/AB56)*(1/AD56)*(1/AF56)*(1/AH56)</f>
        <v>8385.680334859162</v>
      </c>
      <c r="AX56" s="60">
        <f t="shared" ref="AX56:AX65" si="41">AO56</f>
        <v>1.6771360669718323E+18</v>
      </c>
      <c r="AY56" s="60">
        <f t="shared" ref="AY56:AY65" si="42">AX56*(1/Y56)</f>
        <v>1.6771360669718323E+18</v>
      </c>
      <c r="AZ56" s="60">
        <f t="shared" ref="AZ56:AZ65" si="43">AY56*(1/AA56)</f>
        <v>1.6771360669718324E+16</v>
      </c>
      <c r="BA56" s="60">
        <f t="shared" ref="BA56:BA65" si="44">AZ56*(1/AC56)</f>
        <v>8385680334.8591614</v>
      </c>
      <c r="BB56" s="60">
        <f t="shared" ref="BB56:BB65" si="45">BA56*(1/AE56)</f>
        <v>279522677.82863873</v>
      </c>
      <c r="BC56" s="60">
        <f t="shared" ref="BC56:BC65" si="46">BB56*(1/AG56)</f>
        <v>2795226.7782863872</v>
      </c>
      <c r="BD56" s="60">
        <f t="shared" ref="BD56:BD65" si="47">BC56*(1/AI56)</f>
        <v>1397613.3891431936</v>
      </c>
    </row>
    <row r="57" spans="2:56" ht="15.75" customHeight="1" x14ac:dyDescent="0.25">
      <c r="B57" s="6" t="s">
        <v>148</v>
      </c>
      <c r="C57" s="23">
        <v>94242</v>
      </c>
      <c r="D57" s="23" t="s">
        <v>242</v>
      </c>
      <c r="E57" s="25">
        <v>2.86215E-5</v>
      </c>
      <c r="F57" s="25" t="s">
        <v>231</v>
      </c>
      <c r="G57" s="25" t="s">
        <v>196</v>
      </c>
      <c r="H57" s="7" t="s">
        <v>149</v>
      </c>
      <c r="I57" s="21">
        <v>375000</v>
      </c>
      <c r="J57" s="14"/>
      <c r="K57" s="17"/>
      <c r="L57" s="17"/>
      <c r="M57" s="12">
        <f t="shared" si="6"/>
        <v>11826000000000</v>
      </c>
      <c r="N57" s="12">
        <f t="shared" si="25"/>
        <v>5.8612141092503409E-14</v>
      </c>
      <c r="O57" s="30">
        <f t="shared" si="0"/>
        <v>1.0000000000000001E-24</v>
      </c>
      <c r="P57" s="30">
        <f t="shared" si="1"/>
        <v>13978830.671413144</v>
      </c>
      <c r="Q57" s="10">
        <f t="shared" si="2"/>
        <v>2.8621499999999996E+19</v>
      </c>
      <c r="R57" s="10">
        <f t="shared" si="3"/>
        <v>4.0009510206185125E+26</v>
      </c>
      <c r="S57" s="57">
        <f t="shared" si="4"/>
        <v>23450430572468.777</v>
      </c>
      <c r="T57" s="58">
        <f t="shared" si="26"/>
        <v>633.16162545665702</v>
      </c>
      <c r="U57" s="74" t="str">
        <f t="shared" si="27"/>
        <v>Pu, Actinidos</v>
      </c>
      <c r="V57" s="107">
        <v>3.0000000000000001E-5</v>
      </c>
      <c r="W57" s="107">
        <v>8.0000000000000007E-5</v>
      </c>
      <c r="X57" s="81">
        <v>1</v>
      </c>
      <c r="Y57" s="81">
        <v>1</v>
      </c>
      <c r="Z57" s="82">
        <v>200</v>
      </c>
      <c r="AA57" s="82">
        <v>100</v>
      </c>
      <c r="AB57" s="82">
        <f t="shared" si="28"/>
        <v>10000000</v>
      </c>
      <c r="AC57" s="82">
        <f t="shared" si="29"/>
        <v>2000000</v>
      </c>
      <c r="AD57" s="82">
        <v>100</v>
      </c>
      <c r="AE57" s="82">
        <v>30</v>
      </c>
      <c r="AF57" s="114">
        <v>100</v>
      </c>
      <c r="AG57" s="114">
        <v>100</v>
      </c>
      <c r="AH57" s="82">
        <v>10</v>
      </c>
      <c r="AI57" s="82">
        <v>2</v>
      </c>
      <c r="AJ57" s="48">
        <f t="shared" si="30"/>
        <v>0.1172521528623439</v>
      </c>
      <c r="AK57" s="48">
        <f t="shared" si="31"/>
        <v>19.542025477057315</v>
      </c>
      <c r="AL57" s="48">
        <f t="shared" si="32"/>
        <v>5.2763468788054756E-10</v>
      </c>
      <c r="AM57" s="48" t="str">
        <f t="shared" si="33"/>
        <v>Pu-242</v>
      </c>
      <c r="AO57" s="60">
        <f t="shared" si="34"/>
        <v>23450430572468.777</v>
      </c>
      <c r="AP57" s="60">
        <f t="shared" si="35"/>
        <v>23450430572468.777</v>
      </c>
      <c r="AQ57" s="60">
        <f t="shared" si="36"/>
        <v>117252152862.34389</v>
      </c>
      <c r="AR57" s="60">
        <f t="shared" si="37"/>
        <v>11725.215286234388</v>
      </c>
      <c r="AS57" s="60">
        <f t="shared" si="38"/>
        <v>117.25215286234389</v>
      </c>
      <c r="AT57" s="5">
        <f t="shared" si="39"/>
        <v>1.1725215286234389</v>
      </c>
      <c r="AU57" s="60">
        <f t="shared" si="40"/>
        <v>0.1172521528623439</v>
      </c>
      <c r="AX57" s="60">
        <f t="shared" si="41"/>
        <v>23450430572468.777</v>
      </c>
      <c r="AY57" s="60">
        <f t="shared" si="42"/>
        <v>23450430572468.777</v>
      </c>
      <c r="AZ57" s="60">
        <f t="shared" si="43"/>
        <v>234504305724.68777</v>
      </c>
      <c r="BA57" s="60">
        <f t="shared" si="44"/>
        <v>117252.15286234388</v>
      </c>
      <c r="BB57" s="60">
        <f t="shared" si="45"/>
        <v>3908.4050954114628</v>
      </c>
      <c r="BC57" s="60">
        <f t="shared" si="46"/>
        <v>39.08405095411463</v>
      </c>
      <c r="BD57" s="60">
        <f t="shared" si="47"/>
        <v>19.542025477057315</v>
      </c>
    </row>
    <row r="58" spans="2:56" ht="15.75" customHeight="1" x14ac:dyDescent="0.25">
      <c r="B58" s="6" t="s">
        <v>150</v>
      </c>
      <c r="C58" s="23">
        <v>95241</v>
      </c>
      <c r="D58" s="23" t="s">
        <v>242</v>
      </c>
      <c r="E58" s="25">
        <v>6.9777300000000001E-7</v>
      </c>
      <c r="F58" s="25" t="s">
        <v>232</v>
      </c>
      <c r="G58" s="25" t="s">
        <v>197</v>
      </c>
      <c r="H58" s="7" t="s">
        <v>151</v>
      </c>
      <c r="I58" s="21">
        <v>14.4</v>
      </c>
      <c r="J58" s="14"/>
      <c r="K58" s="17"/>
      <c r="L58" s="17"/>
      <c r="M58" s="12">
        <f t="shared" si="6"/>
        <v>454118400</v>
      </c>
      <c r="N58" s="12">
        <f t="shared" si="25"/>
        <v>1.5263578409506096E-9</v>
      </c>
      <c r="O58" s="30">
        <f t="shared" si="0"/>
        <v>1.0000000000000001E-24</v>
      </c>
      <c r="P58" s="30">
        <f t="shared" si="1"/>
        <v>13978830.671413144</v>
      </c>
      <c r="Q58" s="10">
        <f t="shared" si="2"/>
        <v>6.9777299999999987E+17</v>
      </c>
      <c r="R58" s="10">
        <f t="shared" si="3"/>
        <v>9.7540506140839612E+24</v>
      </c>
      <c r="S58" s="57">
        <f t="shared" si="4"/>
        <v>1.4888171635836162E+16</v>
      </c>
      <c r="T58" s="58">
        <f t="shared" si="26"/>
        <v>401980.63416757638</v>
      </c>
      <c r="U58" s="74" t="str">
        <f t="shared" si="27"/>
        <v>Pu, Actinidos</v>
      </c>
      <c r="V58" s="107">
        <v>3.0000000000000001E-5</v>
      </c>
      <c r="W58" s="107">
        <v>8.0000000000000007E-5</v>
      </c>
      <c r="X58" s="81">
        <v>1</v>
      </c>
      <c r="Y58" s="81">
        <v>1</v>
      </c>
      <c r="Z58" s="82">
        <v>200</v>
      </c>
      <c r="AA58" s="82">
        <v>100</v>
      </c>
      <c r="AB58" s="82">
        <f t="shared" si="28"/>
        <v>10000000</v>
      </c>
      <c r="AC58" s="82">
        <f t="shared" si="29"/>
        <v>2000000</v>
      </c>
      <c r="AD58" s="82">
        <v>100</v>
      </c>
      <c r="AE58" s="82">
        <v>30</v>
      </c>
      <c r="AF58" s="114">
        <v>100</v>
      </c>
      <c r="AG58" s="114">
        <v>100</v>
      </c>
      <c r="AH58" s="82">
        <v>10</v>
      </c>
      <c r="AI58" s="82">
        <v>2</v>
      </c>
      <c r="AJ58" s="48">
        <f t="shared" si="30"/>
        <v>74.440858179180822</v>
      </c>
      <c r="AK58" s="48">
        <f t="shared" si="31"/>
        <v>12406.809696530137</v>
      </c>
      <c r="AL58" s="48">
        <f t="shared" si="32"/>
        <v>3.3498386180631372E-7</v>
      </c>
      <c r="AM58" s="48" t="str">
        <f t="shared" si="33"/>
        <v>Am-241</v>
      </c>
      <c r="AO58" s="60">
        <f t="shared" si="34"/>
        <v>1.4888171635836162E+16</v>
      </c>
      <c r="AP58" s="60">
        <f t="shared" si="35"/>
        <v>1.4888171635836162E+16</v>
      </c>
      <c r="AQ58" s="60">
        <f t="shared" si="36"/>
        <v>74440858179180.813</v>
      </c>
      <c r="AR58" s="60">
        <f t="shared" si="37"/>
        <v>7444085.8179180808</v>
      </c>
      <c r="AS58" s="60">
        <f t="shared" si="38"/>
        <v>74440.85817918081</v>
      </c>
      <c r="AT58" s="5">
        <f t="shared" si="39"/>
        <v>744.40858179180816</v>
      </c>
      <c r="AU58" s="60">
        <f t="shared" si="40"/>
        <v>74.440858179180822</v>
      </c>
      <c r="AX58" s="60">
        <f t="shared" si="41"/>
        <v>1.4888171635836162E+16</v>
      </c>
      <c r="AY58" s="60">
        <f t="shared" si="42"/>
        <v>1.4888171635836162E+16</v>
      </c>
      <c r="AZ58" s="60">
        <f t="shared" si="43"/>
        <v>148881716358361.63</v>
      </c>
      <c r="BA58" s="60">
        <f t="shared" si="44"/>
        <v>74440858.179180816</v>
      </c>
      <c r="BB58" s="60">
        <f t="shared" si="45"/>
        <v>2481361.9393060273</v>
      </c>
      <c r="BC58" s="60">
        <f t="shared" si="46"/>
        <v>24813.619393060275</v>
      </c>
      <c r="BD58" s="60">
        <f t="shared" si="47"/>
        <v>12406.809696530137</v>
      </c>
    </row>
    <row r="59" spans="2:56" ht="15.75" customHeight="1" x14ac:dyDescent="0.25">
      <c r="B59" s="6" t="s">
        <v>152</v>
      </c>
      <c r="C59" s="23">
        <v>95243</v>
      </c>
      <c r="D59" s="23" t="s">
        <v>242</v>
      </c>
      <c r="E59" s="25">
        <v>5.5396299999999998E-6</v>
      </c>
      <c r="F59" s="25" t="s">
        <v>233</v>
      </c>
      <c r="G59" s="25" t="s">
        <v>198</v>
      </c>
      <c r="H59" s="7" t="s">
        <v>153</v>
      </c>
      <c r="I59" s="21"/>
      <c r="J59" s="14"/>
      <c r="K59" s="17">
        <v>5</v>
      </c>
      <c r="L59" s="17"/>
      <c r="M59" s="12">
        <f t="shared" si="6"/>
        <v>18000</v>
      </c>
      <c r="N59" s="12">
        <f t="shared" si="25"/>
        <v>3.8508176697774737E-5</v>
      </c>
      <c r="O59" s="30">
        <f t="shared" si="0"/>
        <v>1.0000000000000001E-24</v>
      </c>
      <c r="P59" s="30">
        <f t="shared" si="1"/>
        <v>13978830.671413144</v>
      </c>
      <c r="Q59" s="10">
        <f t="shared" si="2"/>
        <v>5.539629999999999E+18</v>
      </c>
      <c r="R59" s="10">
        <f t="shared" si="3"/>
        <v>7.7437549752280374E+25</v>
      </c>
      <c r="S59" s="57">
        <f t="shared" si="4"/>
        <v>2.981978848903535E+21</v>
      </c>
      <c r="T59" s="58">
        <f t="shared" si="26"/>
        <v>80513428920.395447</v>
      </c>
      <c r="U59" s="74" t="str">
        <f t="shared" si="27"/>
        <v>Pu, Actinidos</v>
      </c>
      <c r="V59" s="107">
        <v>3.0000000000000001E-5</v>
      </c>
      <c r="W59" s="107">
        <v>8.0000000000000007E-5</v>
      </c>
      <c r="X59" s="81">
        <v>1</v>
      </c>
      <c r="Y59" s="81">
        <v>1</v>
      </c>
      <c r="Z59" s="82">
        <v>200</v>
      </c>
      <c r="AA59" s="82">
        <v>100</v>
      </c>
      <c r="AB59" s="82">
        <f t="shared" si="28"/>
        <v>10000000</v>
      </c>
      <c r="AC59" s="82">
        <f t="shared" si="29"/>
        <v>2000000</v>
      </c>
      <c r="AD59" s="82">
        <v>100</v>
      </c>
      <c r="AE59" s="82">
        <v>30</v>
      </c>
      <c r="AF59" s="114">
        <v>100</v>
      </c>
      <c r="AG59" s="114">
        <v>100</v>
      </c>
      <c r="AH59" s="82">
        <v>10</v>
      </c>
      <c r="AI59" s="82">
        <v>2</v>
      </c>
      <c r="AJ59" s="48">
        <f t="shared" si="30"/>
        <v>14909894.244517677</v>
      </c>
      <c r="AK59" s="48">
        <f t="shared" si="31"/>
        <v>2484982374.0862789</v>
      </c>
      <c r="AL59" s="48">
        <f t="shared" si="32"/>
        <v>6.7094524100329525E-2</v>
      </c>
      <c r="AM59" s="48" t="str">
        <f t="shared" si="33"/>
        <v>Am-243</v>
      </c>
      <c r="AO59" s="60">
        <f t="shared" si="34"/>
        <v>2.981978848903535E+21</v>
      </c>
      <c r="AP59" s="60">
        <f t="shared" si="35"/>
        <v>2.981978848903535E+21</v>
      </c>
      <c r="AQ59" s="60">
        <f t="shared" si="36"/>
        <v>1.4909894244517675E+19</v>
      </c>
      <c r="AR59" s="60">
        <f t="shared" si="37"/>
        <v>1490989424451.7673</v>
      </c>
      <c r="AS59" s="60">
        <f t="shared" si="38"/>
        <v>14909894244.517673</v>
      </c>
      <c r="AT59" s="5">
        <f t="shared" si="39"/>
        <v>149098942.44517675</v>
      </c>
      <c r="AU59" s="60">
        <f t="shared" si="40"/>
        <v>14909894.244517677</v>
      </c>
      <c r="AX59" s="60">
        <f t="shared" si="41"/>
        <v>2.981978848903535E+21</v>
      </c>
      <c r="AY59" s="60">
        <f t="shared" si="42"/>
        <v>2.981978848903535E+21</v>
      </c>
      <c r="AZ59" s="60">
        <f t="shared" si="43"/>
        <v>2.981978848903535E+19</v>
      </c>
      <c r="BA59" s="60">
        <f t="shared" si="44"/>
        <v>14909894244517.674</v>
      </c>
      <c r="BB59" s="60">
        <f t="shared" si="45"/>
        <v>496996474817.2558</v>
      </c>
      <c r="BC59" s="60">
        <f t="shared" si="46"/>
        <v>4969964748.1725578</v>
      </c>
      <c r="BD59" s="60">
        <f t="shared" si="47"/>
        <v>2484982374.0862789</v>
      </c>
    </row>
    <row r="60" spans="2:56" ht="15.75" customHeight="1" x14ac:dyDescent="0.25">
      <c r="B60" s="6" t="s">
        <v>8</v>
      </c>
      <c r="C60" s="23">
        <v>38089</v>
      </c>
      <c r="D60" s="23" t="s">
        <v>238</v>
      </c>
      <c r="E60" s="25">
        <v>2.33352E-5</v>
      </c>
      <c r="F60" s="25" t="s">
        <v>202</v>
      </c>
      <c r="G60" s="25" t="s">
        <v>159</v>
      </c>
      <c r="H60" s="6" t="s">
        <v>85</v>
      </c>
      <c r="I60" s="20"/>
      <c r="J60" s="16">
        <v>50.57</v>
      </c>
      <c r="K60" s="19"/>
      <c r="L60" s="19"/>
      <c r="M60" s="12">
        <f t="shared" si="6"/>
        <v>4369248</v>
      </c>
      <c r="N60" s="12">
        <f t="shared" si="25"/>
        <v>1.5864221498984385E-7</v>
      </c>
      <c r="O60" s="30">
        <f t="shared" si="0"/>
        <v>1.0000000000000001E-24</v>
      </c>
      <c r="P60" s="30">
        <f t="shared" si="1"/>
        <v>13978830.671413144</v>
      </c>
      <c r="Q60" s="10">
        <f t="shared" si="2"/>
        <v>2.3335199999999996E+19</v>
      </c>
      <c r="R60" s="10">
        <f t="shared" si="3"/>
        <v>3.2619880948355992E+26</v>
      </c>
      <c r="S60" s="57">
        <f t="shared" si="4"/>
        <v>5.174890166352203E+19</v>
      </c>
      <c r="T60" s="58">
        <f t="shared" si="26"/>
        <v>1397220344.9150949</v>
      </c>
      <c r="U60" s="74" t="str">
        <f t="shared" si="27"/>
        <v>Sr, Ba, Eu</v>
      </c>
      <c r="V60" s="106">
        <v>3.0000000000000001E-5</v>
      </c>
      <c r="W60" s="106">
        <v>8.0000000000000007E-5</v>
      </c>
      <c r="X60" s="56">
        <v>1</v>
      </c>
      <c r="Y60" s="56">
        <v>1</v>
      </c>
      <c r="Z60" s="83">
        <v>1</v>
      </c>
      <c r="AA60" s="83">
        <v>1</v>
      </c>
      <c r="AB60" s="83">
        <f>10^6</f>
        <v>1000000</v>
      </c>
      <c r="AC60" s="83">
        <f>200000</f>
        <v>200000</v>
      </c>
      <c r="AD60" s="83">
        <v>100</v>
      </c>
      <c r="AE60" s="83">
        <v>30</v>
      </c>
      <c r="AF60" s="113">
        <v>100</v>
      </c>
      <c r="AG60" s="113">
        <v>100</v>
      </c>
      <c r="AH60" s="83">
        <v>10</v>
      </c>
      <c r="AI60" s="83">
        <v>2</v>
      </c>
      <c r="AJ60" s="48">
        <f t="shared" si="30"/>
        <v>517489016.63522029</v>
      </c>
      <c r="AK60" s="48">
        <f t="shared" si="31"/>
        <v>43124084719.601692</v>
      </c>
      <c r="AL60" s="48">
        <f t="shared" si="32"/>
        <v>1.1643502874292457</v>
      </c>
      <c r="AM60" s="48" t="str">
        <f t="shared" si="33"/>
        <v>Sr-89</v>
      </c>
      <c r="AO60" s="60">
        <f t="shared" si="34"/>
        <v>5.174890166352203E+19</v>
      </c>
      <c r="AP60" s="60">
        <f t="shared" si="35"/>
        <v>5.174890166352203E+19</v>
      </c>
      <c r="AQ60" s="60">
        <f t="shared" si="36"/>
        <v>5.174890166352203E+19</v>
      </c>
      <c r="AR60" s="60">
        <f t="shared" si="37"/>
        <v>51748901663522.023</v>
      </c>
      <c r="AS60" s="60">
        <f t="shared" si="38"/>
        <v>517489016635.22021</v>
      </c>
      <c r="AT60" s="5">
        <f t="shared" si="39"/>
        <v>5174890166.3522024</v>
      </c>
      <c r="AU60" s="60">
        <f t="shared" si="40"/>
        <v>517489016.63522029</v>
      </c>
      <c r="AX60" s="60">
        <f t="shared" si="41"/>
        <v>5.174890166352203E+19</v>
      </c>
      <c r="AY60" s="60">
        <f t="shared" si="42"/>
        <v>5.174890166352203E+19</v>
      </c>
      <c r="AZ60" s="60">
        <f t="shared" si="43"/>
        <v>5.174890166352203E+19</v>
      </c>
      <c r="BA60" s="60">
        <f t="shared" si="44"/>
        <v>258744508317610.16</v>
      </c>
      <c r="BB60" s="60">
        <f t="shared" si="45"/>
        <v>8624816943920.3389</v>
      </c>
      <c r="BC60" s="60">
        <f t="shared" si="46"/>
        <v>86248169439.203384</v>
      </c>
      <c r="BD60" s="60">
        <f t="shared" si="47"/>
        <v>43124084719.601692</v>
      </c>
    </row>
    <row r="61" spans="2:56" ht="15.75" customHeight="1" x14ac:dyDescent="0.25">
      <c r="B61" s="6" t="s">
        <v>24</v>
      </c>
      <c r="C61" s="23">
        <v>38090</v>
      </c>
      <c r="D61" s="23" t="s">
        <v>238</v>
      </c>
      <c r="E61" s="25">
        <v>1.23058E-4</v>
      </c>
      <c r="F61" s="25" t="s">
        <v>204</v>
      </c>
      <c r="G61" s="25" t="s">
        <v>25</v>
      </c>
      <c r="H61" s="6" t="s">
        <v>25</v>
      </c>
      <c r="I61" s="20">
        <v>28.8</v>
      </c>
      <c r="J61" s="14"/>
      <c r="K61" s="17"/>
      <c r="L61" s="17"/>
      <c r="M61" s="12">
        <f t="shared" si="6"/>
        <v>908236800</v>
      </c>
      <c r="N61" s="12">
        <f t="shared" si="25"/>
        <v>7.631789204753048E-10</v>
      </c>
      <c r="O61" s="30">
        <f t="shared" si="0"/>
        <v>1.0000000000000001E-24</v>
      </c>
      <c r="P61" s="30">
        <f t="shared" si="1"/>
        <v>13978830.671413144</v>
      </c>
      <c r="Q61" s="10">
        <f t="shared" si="2"/>
        <v>1.2305799999999998E+20</v>
      </c>
      <c r="R61" s="10">
        <f t="shared" si="3"/>
        <v>1.7202069447627584E+27</v>
      </c>
      <c r="S61" s="57">
        <f t="shared" si="4"/>
        <v>1.3128256790981642E+18</v>
      </c>
      <c r="T61" s="58">
        <f t="shared" si="26"/>
        <v>35446293.335650437</v>
      </c>
      <c r="U61" s="74" t="str">
        <f t="shared" si="27"/>
        <v>Sr, Ba, Eu</v>
      </c>
      <c r="V61" s="106">
        <v>3.0000000000000001E-5</v>
      </c>
      <c r="W61" s="106">
        <v>8.0000000000000007E-5</v>
      </c>
      <c r="X61" s="56">
        <v>1</v>
      </c>
      <c r="Y61" s="56">
        <v>1</v>
      </c>
      <c r="Z61" s="83">
        <v>1</v>
      </c>
      <c r="AA61" s="83">
        <v>1</v>
      </c>
      <c r="AB61" s="83">
        <f t="shared" ref="AB61:AB65" si="48">10^6</f>
        <v>1000000</v>
      </c>
      <c r="AC61" s="83">
        <f t="shared" ref="AC61:AC65" si="49">200000</f>
        <v>200000</v>
      </c>
      <c r="AD61" s="83">
        <v>100</v>
      </c>
      <c r="AE61" s="83">
        <v>30</v>
      </c>
      <c r="AF61" s="113">
        <v>100</v>
      </c>
      <c r="AG61" s="113">
        <v>100</v>
      </c>
      <c r="AH61" s="83">
        <v>10</v>
      </c>
      <c r="AI61" s="83">
        <v>2</v>
      </c>
      <c r="AJ61" s="48">
        <f t="shared" si="30"/>
        <v>13128256.790981643</v>
      </c>
      <c r="AK61" s="48">
        <f t="shared" si="31"/>
        <v>1094021399.2484701</v>
      </c>
      <c r="AL61" s="48">
        <f t="shared" si="32"/>
        <v>2.9538577779708693E-2</v>
      </c>
      <c r="AM61" s="48" t="str">
        <f t="shared" si="33"/>
        <v>Sr-90</v>
      </c>
      <c r="AO61" s="60">
        <f t="shared" si="34"/>
        <v>1.3128256790981642E+18</v>
      </c>
      <c r="AP61" s="60">
        <f t="shared" si="35"/>
        <v>1.3128256790981642E+18</v>
      </c>
      <c r="AQ61" s="60">
        <f t="shared" si="36"/>
        <v>1.3128256790981642E+18</v>
      </c>
      <c r="AR61" s="60">
        <f t="shared" si="37"/>
        <v>1312825679098.1641</v>
      </c>
      <c r="AS61" s="60">
        <f t="shared" si="38"/>
        <v>13128256790.981642</v>
      </c>
      <c r="AT61" s="5">
        <f t="shared" si="39"/>
        <v>131282567.90981641</v>
      </c>
      <c r="AU61" s="60">
        <f t="shared" si="40"/>
        <v>13128256.790981643</v>
      </c>
      <c r="AX61" s="60">
        <f t="shared" si="41"/>
        <v>1.3128256790981642E+18</v>
      </c>
      <c r="AY61" s="60">
        <f t="shared" si="42"/>
        <v>1.3128256790981642E+18</v>
      </c>
      <c r="AZ61" s="60">
        <f t="shared" si="43"/>
        <v>1.3128256790981642E+18</v>
      </c>
      <c r="BA61" s="60">
        <f t="shared" si="44"/>
        <v>6564128395490.8213</v>
      </c>
      <c r="BB61" s="60">
        <f t="shared" si="45"/>
        <v>218804279849.69403</v>
      </c>
      <c r="BC61" s="60">
        <f t="shared" si="46"/>
        <v>2188042798.4969401</v>
      </c>
      <c r="BD61" s="60">
        <f t="shared" si="47"/>
        <v>1094021399.2484701</v>
      </c>
    </row>
    <row r="62" spans="2:56" ht="15.75" customHeight="1" x14ac:dyDescent="0.25">
      <c r="B62" s="6" t="s">
        <v>80</v>
      </c>
      <c r="C62" s="23">
        <v>56138</v>
      </c>
      <c r="D62" s="23" t="s">
        <v>238</v>
      </c>
      <c r="E62" s="25">
        <v>1.67617E-4</v>
      </c>
      <c r="F62" s="25"/>
      <c r="G62" s="25" t="s">
        <v>15</v>
      </c>
      <c r="H62" s="7" t="s">
        <v>155</v>
      </c>
      <c r="I62" s="13">
        <f>30.018</f>
        <v>30.018000000000001</v>
      </c>
      <c r="J62" s="14"/>
      <c r="K62" s="17"/>
      <c r="L62" s="17"/>
      <c r="M62" s="12">
        <f t="shared" si="6"/>
        <v>946647648</v>
      </c>
      <c r="N62" s="12">
        <f t="shared" si="25"/>
        <v>7.3221243619457587E-10</v>
      </c>
      <c r="O62" s="30">
        <f t="shared" si="0"/>
        <v>1.0000000000000001E-24</v>
      </c>
      <c r="P62" s="30">
        <f t="shared" si="1"/>
        <v>13978830.671413144</v>
      </c>
      <c r="Q62" s="10">
        <f t="shared" si="2"/>
        <v>1.67617E+20</v>
      </c>
      <c r="R62" s="10">
        <f t="shared" si="3"/>
        <v>2.3430896606502569E+27</v>
      </c>
      <c r="S62" s="57">
        <f t="shared" si="4"/>
        <v>1.7156393886470467E+18</v>
      </c>
      <c r="T62" s="58">
        <f t="shared" si="26"/>
        <v>46322263.493470259</v>
      </c>
      <c r="U62" s="74" t="str">
        <f t="shared" si="27"/>
        <v>Sr, Ba, Eu</v>
      </c>
      <c r="V62" s="106">
        <v>3.0000000000000001E-5</v>
      </c>
      <c r="W62" s="106">
        <v>8.0000000000000007E-5</v>
      </c>
      <c r="X62" s="56">
        <v>1</v>
      </c>
      <c r="Y62" s="56">
        <v>1</v>
      </c>
      <c r="Z62" s="83">
        <v>1</v>
      </c>
      <c r="AA62" s="83">
        <v>1</v>
      </c>
      <c r="AB62" s="83">
        <f t="shared" si="48"/>
        <v>1000000</v>
      </c>
      <c r="AC62" s="83">
        <f t="shared" si="49"/>
        <v>200000</v>
      </c>
      <c r="AD62" s="83">
        <v>100</v>
      </c>
      <c r="AE62" s="83">
        <v>30</v>
      </c>
      <c r="AF62" s="113">
        <v>100</v>
      </c>
      <c r="AG62" s="113">
        <v>100</v>
      </c>
      <c r="AH62" s="83">
        <v>10</v>
      </c>
      <c r="AI62" s="83">
        <v>2</v>
      </c>
      <c r="AJ62" s="48">
        <f t="shared" si="30"/>
        <v>17156393.886470467</v>
      </c>
      <c r="AK62" s="48">
        <f t="shared" si="31"/>
        <v>1429699490.5392056</v>
      </c>
      <c r="AL62" s="48">
        <f t="shared" si="32"/>
        <v>3.8601886244558549E-2</v>
      </c>
      <c r="AM62" s="48" t="str">
        <f t="shared" si="33"/>
        <v>Ba-138</v>
      </c>
      <c r="AO62" s="60">
        <f t="shared" si="34"/>
        <v>1.7156393886470467E+18</v>
      </c>
      <c r="AP62" s="60">
        <f t="shared" si="35"/>
        <v>1.7156393886470467E+18</v>
      </c>
      <c r="AQ62" s="60">
        <f t="shared" si="36"/>
        <v>1.7156393886470467E+18</v>
      </c>
      <c r="AR62" s="60">
        <f t="shared" si="37"/>
        <v>1715639388647.0466</v>
      </c>
      <c r="AS62" s="60">
        <f t="shared" si="38"/>
        <v>17156393886.470467</v>
      </c>
      <c r="AT62" s="5">
        <f t="shared" si="39"/>
        <v>171563938.86470467</v>
      </c>
      <c r="AU62" s="60">
        <f t="shared" si="40"/>
        <v>17156393.886470467</v>
      </c>
      <c r="AX62" s="60">
        <f t="shared" si="41"/>
        <v>1.7156393886470467E+18</v>
      </c>
      <c r="AY62" s="60">
        <f t="shared" si="42"/>
        <v>1.7156393886470467E+18</v>
      </c>
      <c r="AZ62" s="60">
        <f t="shared" si="43"/>
        <v>1.7156393886470467E+18</v>
      </c>
      <c r="BA62" s="60">
        <f t="shared" si="44"/>
        <v>8578196943235.2344</v>
      </c>
      <c r="BB62" s="60">
        <f t="shared" si="45"/>
        <v>285939898107.84113</v>
      </c>
      <c r="BC62" s="60">
        <f t="shared" si="46"/>
        <v>2859398981.0784111</v>
      </c>
      <c r="BD62" s="60">
        <f t="shared" si="47"/>
        <v>1429699490.5392056</v>
      </c>
    </row>
    <row r="63" spans="2:56" ht="15.75" customHeight="1" x14ac:dyDescent="0.25">
      <c r="B63" s="6" t="s">
        <v>82</v>
      </c>
      <c r="C63" s="23">
        <v>56140</v>
      </c>
      <c r="D63" s="23" t="s">
        <v>238</v>
      </c>
      <c r="E63" s="25">
        <v>1.10185E-5</v>
      </c>
      <c r="F63" s="25" t="s">
        <v>218</v>
      </c>
      <c r="G63" s="25" t="s">
        <v>170</v>
      </c>
      <c r="H63" s="7" t="s">
        <v>81</v>
      </c>
      <c r="I63" s="13"/>
      <c r="J63" s="14">
        <v>12.75</v>
      </c>
      <c r="K63" s="17"/>
      <c r="L63" s="17"/>
      <c r="M63" s="12">
        <f t="shared" si="6"/>
        <v>1101600</v>
      </c>
      <c r="N63" s="12">
        <f t="shared" si="25"/>
        <v>6.2921857349305129E-7</v>
      </c>
      <c r="O63" s="30">
        <f t="shared" si="0"/>
        <v>1.0000000000000001E-24</v>
      </c>
      <c r="P63" s="30">
        <f t="shared" si="1"/>
        <v>13978830.671413144</v>
      </c>
      <c r="Q63" s="10">
        <f t="shared" si="2"/>
        <v>1.1018499999999998E+19</v>
      </c>
      <c r="R63" s="10">
        <f t="shared" si="3"/>
        <v>1.540257457529657E+26</v>
      </c>
      <c r="S63" s="57">
        <f t="shared" si="4"/>
        <v>9.6915860023884481E+19</v>
      </c>
      <c r="T63" s="58">
        <f t="shared" si="26"/>
        <v>2616728220.6448812</v>
      </c>
      <c r="U63" s="74" t="str">
        <f t="shared" si="27"/>
        <v>Sr, Ba, Eu</v>
      </c>
      <c r="V63" s="106">
        <v>3.0000000000000001E-5</v>
      </c>
      <c r="W63" s="106">
        <v>8.0000000000000007E-5</v>
      </c>
      <c r="X63" s="56">
        <v>1</v>
      </c>
      <c r="Y63" s="56">
        <v>1</v>
      </c>
      <c r="Z63" s="83">
        <v>1</v>
      </c>
      <c r="AA63" s="83">
        <v>1</v>
      </c>
      <c r="AB63" s="83">
        <f t="shared" si="48"/>
        <v>1000000</v>
      </c>
      <c r="AC63" s="83">
        <f t="shared" si="49"/>
        <v>200000</v>
      </c>
      <c r="AD63" s="83">
        <v>100</v>
      </c>
      <c r="AE63" s="83">
        <v>30</v>
      </c>
      <c r="AF63" s="113">
        <v>100</v>
      </c>
      <c r="AG63" s="113">
        <v>100</v>
      </c>
      <c r="AH63" s="83">
        <v>10</v>
      </c>
      <c r="AI63" s="83">
        <v>2</v>
      </c>
      <c r="AJ63" s="48">
        <f t="shared" si="30"/>
        <v>969158600.23884475</v>
      </c>
      <c r="AK63" s="48">
        <f t="shared" si="31"/>
        <v>80763216686.570404</v>
      </c>
      <c r="AL63" s="48">
        <f t="shared" si="32"/>
        <v>2.180606850537401</v>
      </c>
      <c r="AM63" s="48" t="str">
        <f t="shared" si="33"/>
        <v>Ba-140</v>
      </c>
      <c r="AO63" s="60">
        <f t="shared" si="34"/>
        <v>9.6915860023884481E+19</v>
      </c>
      <c r="AP63" s="60">
        <f t="shared" si="35"/>
        <v>9.6915860023884481E+19</v>
      </c>
      <c r="AQ63" s="60">
        <f t="shared" si="36"/>
        <v>9.6915860023884481E+19</v>
      </c>
      <c r="AR63" s="60">
        <f t="shared" si="37"/>
        <v>96915860023884.469</v>
      </c>
      <c r="AS63" s="60">
        <f t="shared" si="38"/>
        <v>969158600238.84473</v>
      </c>
      <c r="AT63" s="5">
        <f t="shared" si="39"/>
        <v>9691586002.3884468</v>
      </c>
      <c r="AU63" s="60">
        <f t="shared" si="40"/>
        <v>969158600.23884475</v>
      </c>
      <c r="AX63" s="60">
        <f t="shared" si="41"/>
        <v>9.6915860023884481E+19</v>
      </c>
      <c r="AY63" s="60">
        <f t="shared" si="42"/>
        <v>9.6915860023884481E+19</v>
      </c>
      <c r="AZ63" s="60">
        <f t="shared" si="43"/>
        <v>9.6915860023884481E+19</v>
      </c>
      <c r="BA63" s="60">
        <f t="shared" si="44"/>
        <v>484579300119422.44</v>
      </c>
      <c r="BB63" s="60">
        <f t="shared" si="45"/>
        <v>16152643337314.08</v>
      </c>
      <c r="BC63" s="60">
        <f t="shared" si="46"/>
        <v>161526433373.14081</v>
      </c>
      <c r="BD63" s="60">
        <f t="shared" si="47"/>
        <v>80763216686.570404</v>
      </c>
    </row>
    <row r="64" spans="2:56" ht="15.75" customHeight="1" x14ac:dyDescent="0.25">
      <c r="B64" s="6" t="s">
        <v>111</v>
      </c>
      <c r="C64" s="23">
        <v>61147</v>
      </c>
      <c r="D64" s="23" t="s">
        <v>238</v>
      </c>
      <c r="E64" s="25">
        <v>2.5349499999999998E-5</v>
      </c>
      <c r="F64" s="25"/>
      <c r="G64" s="25" t="s">
        <v>178</v>
      </c>
      <c r="H64" s="7" t="s">
        <v>112</v>
      </c>
      <c r="I64" s="21"/>
      <c r="J64" s="14"/>
      <c r="K64" s="17">
        <v>1.6</v>
      </c>
      <c r="L64" s="17"/>
      <c r="M64" s="12">
        <f t="shared" si="6"/>
        <v>5760</v>
      </c>
      <c r="N64" s="12">
        <f t="shared" si="25"/>
        <v>1.2033805218054606E-4</v>
      </c>
      <c r="O64" s="30">
        <f t="shared" si="0"/>
        <v>1.0000000000000001E-24</v>
      </c>
      <c r="P64" s="30">
        <f t="shared" si="1"/>
        <v>13978830.671413144</v>
      </c>
      <c r="Q64" s="10">
        <f t="shared" si="2"/>
        <v>2.5349499999999996E+19</v>
      </c>
      <c r="R64" s="10">
        <f t="shared" si="3"/>
        <v>3.5435636810498741E+26</v>
      </c>
      <c r="S64" s="57">
        <f t="shared" si="4"/>
        <v>4.2642555115526762E+22</v>
      </c>
      <c r="T64" s="58">
        <f t="shared" si="26"/>
        <v>1151348988119.2227</v>
      </c>
      <c r="U64" s="74" t="str">
        <f t="shared" si="27"/>
        <v>Sr, Ba, Eu</v>
      </c>
      <c r="V64" s="106">
        <v>3.0000000000000001E-5</v>
      </c>
      <c r="W64" s="106">
        <v>8.0000000000000007E-5</v>
      </c>
      <c r="X64" s="56">
        <v>1</v>
      </c>
      <c r="Y64" s="56">
        <v>1</v>
      </c>
      <c r="Z64" s="83">
        <v>1</v>
      </c>
      <c r="AA64" s="83">
        <v>1</v>
      </c>
      <c r="AB64" s="83">
        <f t="shared" si="48"/>
        <v>1000000</v>
      </c>
      <c r="AC64" s="83">
        <f t="shared" si="49"/>
        <v>200000</v>
      </c>
      <c r="AD64" s="83">
        <v>100</v>
      </c>
      <c r="AE64" s="83">
        <v>30</v>
      </c>
      <c r="AF64" s="113">
        <v>100</v>
      </c>
      <c r="AG64" s="113">
        <v>100</v>
      </c>
      <c r="AH64" s="83">
        <v>10</v>
      </c>
      <c r="AI64" s="83">
        <v>2</v>
      </c>
      <c r="AJ64" s="48">
        <f t="shared" si="30"/>
        <v>426425551155.26764</v>
      </c>
      <c r="AK64" s="48">
        <f t="shared" si="31"/>
        <v>35535462596272.305</v>
      </c>
      <c r="AL64" s="48">
        <f t="shared" si="32"/>
        <v>959.4574900993523</v>
      </c>
      <c r="AM64" s="48" t="str">
        <f t="shared" si="33"/>
        <v>Eu-147</v>
      </c>
      <c r="AO64" s="60">
        <f t="shared" si="34"/>
        <v>4.2642555115526762E+22</v>
      </c>
      <c r="AP64" s="60">
        <f t="shared" si="35"/>
        <v>4.2642555115526762E+22</v>
      </c>
      <c r="AQ64" s="60">
        <f t="shared" si="36"/>
        <v>4.2642555115526762E+22</v>
      </c>
      <c r="AR64" s="60">
        <f t="shared" si="37"/>
        <v>4.264255511552676E+16</v>
      </c>
      <c r="AS64" s="60">
        <f t="shared" si="38"/>
        <v>426425551155267.63</v>
      </c>
      <c r="AT64" s="5">
        <f t="shared" si="39"/>
        <v>4264255511552.6763</v>
      </c>
      <c r="AU64" s="60">
        <f t="shared" si="40"/>
        <v>426425551155.26764</v>
      </c>
      <c r="AX64" s="60">
        <f t="shared" si="41"/>
        <v>4.2642555115526762E+22</v>
      </c>
      <c r="AY64" s="60">
        <f t="shared" si="42"/>
        <v>4.2642555115526762E+22</v>
      </c>
      <c r="AZ64" s="60">
        <f t="shared" si="43"/>
        <v>4.2642555115526762E+22</v>
      </c>
      <c r="BA64" s="60">
        <f t="shared" si="44"/>
        <v>2.1321277557763382E+17</v>
      </c>
      <c r="BB64" s="60">
        <f t="shared" si="45"/>
        <v>7107092519254461</v>
      </c>
      <c r="BC64" s="60">
        <f t="shared" si="46"/>
        <v>71070925192544.609</v>
      </c>
      <c r="BD64" s="60">
        <f t="shared" si="47"/>
        <v>35535462596272.305</v>
      </c>
    </row>
    <row r="65" spans="2:56" ht="15.75" customHeight="1" x14ac:dyDescent="0.25">
      <c r="B65" s="85" t="s">
        <v>113</v>
      </c>
      <c r="C65" s="86">
        <v>61149</v>
      </c>
      <c r="D65" s="86" t="s">
        <v>238</v>
      </c>
      <c r="E65" s="87">
        <v>3.5030800000000002E-7</v>
      </c>
      <c r="F65" s="87"/>
      <c r="G65" s="87" t="s">
        <v>179</v>
      </c>
      <c r="H65" s="88" t="s">
        <v>114</v>
      </c>
      <c r="I65" s="89"/>
      <c r="J65" s="32"/>
      <c r="K65" s="33"/>
      <c r="L65" s="33">
        <v>2</v>
      </c>
      <c r="M65" s="90">
        <f t="shared" si="6"/>
        <v>120</v>
      </c>
      <c r="N65" s="90">
        <f t="shared" si="25"/>
        <v>5.7762265046662105E-3</v>
      </c>
      <c r="O65" s="91">
        <f t="shared" si="0"/>
        <v>1.0000000000000001E-24</v>
      </c>
      <c r="P65" s="91">
        <f t="shared" si="1"/>
        <v>13978830.671413144</v>
      </c>
      <c r="Q65" s="45">
        <f t="shared" si="2"/>
        <v>3.50308E+17</v>
      </c>
      <c r="R65" s="45">
        <f t="shared" si="3"/>
        <v>4.8968962148413956E+24</v>
      </c>
      <c r="S65" s="92">
        <f t="shared" si="4"/>
        <v>2.8285581706766513E+22</v>
      </c>
      <c r="T65" s="58">
        <f t="shared" si="26"/>
        <v>763710706082.6958</v>
      </c>
      <c r="U65" s="75" t="str">
        <f t="shared" si="27"/>
        <v>Sr, Ba, Eu</v>
      </c>
      <c r="V65" s="108">
        <v>3.0000000000000001E-5</v>
      </c>
      <c r="W65" s="108">
        <v>8.0000000000000007E-5</v>
      </c>
      <c r="X65" s="56">
        <v>1</v>
      </c>
      <c r="Y65" s="56">
        <v>1</v>
      </c>
      <c r="Z65" s="83">
        <v>1</v>
      </c>
      <c r="AA65" s="83">
        <v>1</v>
      </c>
      <c r="AB65" s="83">
        <f t="shared" si="48"/>
        <v>1000000</v>
      </c>
      <c r="AC65" s="83">
        <f t="shared" si="49"/>
        <v>200000</v>
      </c>
      <c r="AD65" s="83">
        <v>100</v>
      </c>
      <c r="AE65" s="83">
        <v>30</v>
      </c>
      <c r="AF65" s="113">
        <v>100</v>
      </c>
      <c r="AG65" s="113">
        <v>100</v>
      </c>
      <c r="AH65" s="83">
        <v>10</v>
      </c>
      <c r="AI65" s="83">
        <v>2</v>
      </c>
      <c r="AJ65" s="48">
        <f t="shared" si="30"/>
        <v>282855817067.66516</v>
      </c>
      <c r="AK65" s="48">
        <f t="shared" si="31"/>
        <v>23571318088972.094</v>
      </c>
      <c r="AL65" s="48">
        <f t="shared" si="32"/>
        <v>636.42558840224649</v>
      </c>
      <c r="AM65" s="93" t="str">
        <f t="shared" si="33"/>
        <v>Eu-149</v>
      </c>
      <c r="AO65" s="60">
        <f t="shared" si="34"/>
        <v>2.8285581706766513E+22</v>
      </c>
      <c r="AP65" s="60">
        <f t="shared" si="35"/>
        <v>2.8285581706766513E+22</v>
      </c>
      <c r="AQ65" s="60">
        <f t="shared" si="36"/>
        <v>2.8285581706766513E+22</v>
      </c>
      <c r="AR65" s="60">
        <f t="shared" si="37"/>
        <v>2.8285581706766512E+16</v>
      </c>
      <c r="AS65" s="60">
        <f t="shared" si="38"/>
        <v>282855817067665.13</v>
      </c>
      <c r="AT65" s="5">
        <f t="shared" si="39"/>
        <v>2828558170676.6514</v>
      </c>
      <c r="AU65" s="60">
        <f t="shared" si="40"/>
        <v>282855817067.66516</v>
      </c>
      <c r="AX65" s="60">
        <f t="shared" si="41"/>
        <v>2.8285581706766513E+22</v>
      </c>
      <c r="AY65" s="60">
        <f t="shared" si="42"/>
        <v>2.8285581706766513E+22</v>
      </c>
      <c r="AZ65" s="60">
        <f t="shared" si="43"/>
        <v>2.8285581706766513E+22</v>
      </c>
      <c r="BA65" s="60">
        <f t="shared" si="44"/>
        <v>1.4142790853383258E+17</v>
      </c>
      <c r="BB65" s="60">
        <f t="shared" si="45"/>
        <v>4714263617794419</v>
      </c>
      <c r="BC65" s="60">
        <f t="shared" si="46"/>
        <v>47142636177944.188</v>
      </c>
      <c r="BD65" s="84">
        <f t="shared" si="47"/>
        <v>23571318088972.094</v>
      </c>
    </row>
    <row r="66" spans="2:56" ht="15.75" customHeight="1" x14ac:dyDescent="0.25"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4"/>
      <c r="AO66" s="84"/>
      <c r="AP66" s="84"/>
      <c r="AQ66" s="84"/>
      <c r="AR66" s="84"/>
      <c r="AS66" s="84"/>
      <c r="AT66" s="29"/>
      <c r="AU66" s="29"/>
      <c r="AX66" s="84"/>
      <c r="AY66" s="84"/>
      <c r="AZ66" s="84"/>
      <c r="BA66" s="84"/>
      <c r="BB66" s="84"/>
      <c r="BC66" s="84"/>
      <c r="BD66" s="84"/>
    </row>
    <row r="67" spans="2:56" ht="15.75" customHeight="1" x14ac:dyDescent="0.25">
      <c r="B67" s="6" t="s">
        <v>27</v>
      </c>
      <c r="C67" s="23">
        <v>39091</v>
      </c>
      <c r="D67" s="23" t="s">
        <v>244</v>
      </c>
      <c r="E67" s="25">
        <v>3.2934300000000001E-5</v>
      </c>
      <c r="F67" s="25" t="s">
        <v>205</v>
      </c>
      <c r="G67" s="25" t="s">
        <v>160</v>
      </c>
      <c r="H67" s="6" t="s">
        <v>28</v>
      </c>
      <c r="I67" s="101"/>
      <c r="J67" s="102">
        <v>58.8</v>
      </c>
      <c r="K67" s="102"/>
      <c r="L67" s="102"/>
      <c r="M67" s="103">
        <f t="shared" si="6"/>
        <v>5080319.9999999991</v>
      </c>
      <c r="N67" s="103">
        <f t="shared" si="25"/>
        <v>1.3643770088497287E-7</v>
      </c>
      <c r="O67" s="104">
        <f t="shared" si="0"/>
        <v>1.0000000000000001E-24</v>
      </c>
      <c r="P67" s="104">
        <f t="shared" si="1"/>
        <v>13978830.671413144</v>
      </c>
      <c r="Q67" s="47">
        <f t="shared" si="2"/>
        <v>3.2934299999999996E+19</v>
      </c>
      <c r="R67" s="47">
        <f t="shared" si="3"/>
        <v>4.6038300298152188E+26</v>
      </c>
      <c r="S67" s="105">
        <f t="shared" si="4"/>
        <v>6.2813598453318451E+19</v>
      </c>
      <c r="T67" s="105"/>
      <c r="U67" s="47" t="str">
        <f t="shared" si="27"/>
        <v>Isot elem trans</v>
      </c>
      <c r="V67" s="47"/>
      <c r="W67" s="47"/>
      <c r="X67" s="56"/>
      <c r="Y67" s="56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48" t="e">
        <f>$S67*(1/X67)*(1/Z67)*(1/AB67)*(1/AD67)*(1/AF67)</f>
        <v>#DIV/0!</v>
      </c>
      <c r="AK67" s="48" t="e">
        <f>$S67*(1/Y67)*(1/AA67)*(1/AC67)*(1/AE67)*(1/AG67)</f>
        <v>#DIV/0!</v>
      </c>
      <c r="AL67" s="48"/>
      <c r="AM67" s="48" t="str">
        <f>B67</f>
        <v>Y-91</v>
      </c>
    </row>
    <row r="68" spans="2:56" ht="15.75" hidden="1" customHeight="1" x14ac:dyDescent="0.25">
      <c r="B68" s="94" t="s">
        <v>108</v>
      </c>
      <c r="C68" s="95">
        <v>60148</v>
      </c>
      <c r="D68" s="95"/>
      <c r="E68" s="96">
        <v>4.40869E-5</v>
      </c>
      <c r="F68" s="96"/>
      <c r="G68" s="96" t="s">
        <v>15</v>
      </c>
      <c r="H68" s="97" t="s">
        <v>15</v>
      </c>
      <c r="I68" s="37"/>
      <c r="J68" s="34"/>
      <c r="K68" s="35"/>
      <c r="L68" s="35"/>
      <c r="M68" s="98">
        <f t="shared" si="6"/>
        <v>0</v>
      </c>
      <c r="N68" s="99"/>
      <c r="O68" s="100">
        <f t="shared" si="0"/>
        <v>1.0000000000000001E-24</v>
      </c>
      <c r="P68" s="100">
        <f t="shared" si="1"/>
        <v>13978830.671413144</v>
      </c>
      <c r="Q68" s="43">
        <f t="shared" si="2"/>
        <v>4.4086899999999992E+19</v>
      </c>
      <c r="R68" s="43">
        <f t="shared" si="3"/>
        <v>6.1628330992752402E+26</v>
      </c>
      <c r="S68" s="43">
        <f t="shared" si="4"/>
        <v>0</v>
      </c>
      <c r="T68" s="46"/>
      <c r="U68" s="46"/>
      <c r="V68" s="46"/>
      <c r="W68" s="46"/>
      <c r="X68" s="55">
        <v>0.01</v>
      </c>
      <c r="Y68" s="50"/>
      <c r="Z68" s="51">
        <v>0.999</v>
      </c>
      <c r="AA68" s="51"/>
      <c r="AB68" s="51"/>
      <c r="AC68" s="51"/>
      <c r="AD68" s="51"/>
      <c r="AE68" s="51"/>
      <c r="AF68" s="51"/>
      <c r="AG68" s="51"/>
      <c r="AH68" s="78"/>
      <c r="AI68" s="78"/>
      <c r="AJ68" s="46">
        <f>S68*X68*(1-Z68)</f>
        <v>0</v>
      </c>
      <c r="AK68" s="42"/>
      <c r="AL68" s="42"/>
      <c r="AM68" s="42"/>
    </row>
    <row r="69" spans="2:56" ht="15.75" customHeight="1" x14ac:dyDescent="0.25">
      <c r="B69" s="6" t="s">
        <v>31</v>
      </c>
      <c r="C69" s="23">
        <v>40093</v>
      </c>
      <c r="D69" s="23" t="s">
        <v>244</v>
      </c>
      <c r="E69" s="25">
        <v>1.4352599999999999E-4</v>
      </c>
      <c r="F69" s="25" t="s">
        <v>206</v>
      </c>
      <c r="G69" s="25" t="s">
        <v>161</v>
      </c>
      <c r="H69" s="7" t="s">
        <v>32</v>
      </c>
      <c r="I69" s="13">
        <v>1530000</v>
      </c>
      <c r="J69" s="14"/>
      <c r="K69" s="17"/>
      <c r="L69" s="17"/>
      <c r="M69" s="12">
        <f t="shared" si="6"/>
        <v>48250080000000</v>
      </c>
      <c r="N69" s="12">
        <f t="shared" ref="N69:N79" si="50">LN(2)/(M69)</f>
        <v>1.4365720856005735E-14</v>
      </c>
      <c r="O69" s="30">
        <f t="shared" ref="O69:O93" si="51">10^-24</f>
        <v>1.0000000000000001E-24</v>
      </c>
      <c r="P69" s="30">
        <f t="shared" ref="P69:P93" si="52">PI()*$K$98^2*$K$99</f>
        <v>13978830.671413144</v>
      </c>
      <c r="Q69" s="10">
        <f t="shared" ref="Q69:Q93" si="53">E69/O69</f>
        <v>1.4352599999999998E+20</v>
      </c>
      <c r="R69" s="10">
        <f t="shared" ref="R69:R93" si="54">Q69*P69</f>
        <v>2.0063256509452426E+27</v>
      </c>
      <c r="S69" s="58">
        <f t="shared" ref="S69:S93" si="55">R69*N69</f>
        <v>28822314247723.355</v>
      </c>
      <c r="T69" s="110"/>
      <c r="U69" s="47" t="str">
        <f t="shared" ref="U69:U79" si="56">D69</f>
        <v>Isot elem trans</v>
      </c>
      <c r="V69" s="47"/>
      <c r="W69" s="47"/>
      <c r="X69" s="56"/>
      <c r="Y69" s="53"/>
      <c r="Z69" s="11"/>
      <c r="AA69" s="11"/>
      <c r="AB69" s="11"/>
      <c r="AC69" s="11"/>
      <c r="AD69" s="11"/>
      <c r="AE69" s="11"/>
      <c r="AF69" s="11"/>
      <c r="AG69" s="44"/>
      <c r="AH69" s="83"/>
      <c r="AI69" s="83"/>
      <c r="AJ69" s="48" t="e">
        <f t="shared" ref="AJ69:AJ79" si="57">$S69*(1/X69)*(1/Z69)*(1/AB69)*(1/AD69)*(1/AF69)</f>
        <v>#DIV/0!</v>
      </c>
      <c r="AK69" s="48" t="e">
        <f t="shared" ref="AK69:AK79" si="58">$S69*(1/Y69)*(1/AA69)*(1/AC69)*(1/AE69)*(1/AG69)</f>
        <v>#DIV/0!</v>
      </c>
      <c r="AL69" s="48"/>
      <c r="AM69" s="48" t="str">
        <f t="shared" ref="AM69:AM79" si="59">B69</f>
        <v>Zr-93</v>
      </c>
    </row>
    <row r="70" spans="2:56" ht="15.75" customHeight="1" x14ac:dyDescent="0.25">
      <c r="B70" s="6" t="s">
        <v>34</v>
      </c>
      <c r="C70" s="23">
        <v>40095</v>
      </c>
      <c r="D70" s="23" t="s">
        <v>244</v>
      </c>
      <c r="E70" s="25">
        <v>4.3505399999999999E-5</v>
      </c>
      <c r="F70" s="25" t="s">
        <v>207</v>
      </c>
      <c r="G70" s="25" t="s">
        <v>35</v>
      </c>
      <c r="H70" s="7" t="s">
        <v>35</v>
      </c>
      <c r="I70" s="13"/>
      <c r="J70" s="14">
        <v>64.02</v>
      </c>
      <c r="K70" s="17"/>
      <c r="L70" s="17"/>
      <c r="M70" s="12">
        <f t="shared" ref="M70:M93" si="60">J70*24*3600+I70*365*24*3600+K70*3600+L70*60</f>
        <v>5531328</v>
      </c>
      <c r="N70" s="12">
        <f t="shared" si="50"/>
        <v>1.2531297738263673E-7</v>
      </c>
      <c r="O70" s="30">
        <f t="shared" si="51"/>
        <v>1.0000000000000001E-24</v>
      </c>
      <c r="P70" s="30">
        <f t="shared" si="52"/>
        <v>13978830.671413144</v>
      </c>
      <c r="Q70" s="10">
        <f t="shared" si="53"/>
        <v>4.3505399999999992E+19</v>
      </c>
      <c r="R70" s="10">
        <f t="shared" si="54"/>
        <v>6.081546198920973E+26</v>
      </c>
      <c r="S70" s="58">
        <f t="shared" si="55"/>
        <v>7.620966612768442E+19</v>
      </c>
      <c r="T70" s="110"/>
      <c r="U70" s="47" t="str">
        <f t="shared" si="56"/>
        <v>Isot elem trans</v>
      </c>
      <c r="V70" s="47"/>
      <c r="W70" s="47"/>
      <c r="X70" s="56"/>
      <c r="Y70" s="53"/>
      <c r="Z70" s="11"/>
      <c r="AA70" s="11"/>
      <c r="AB70" s="11"/>
      <c r="AC70" s="11"/>
      <c r="AD70" s="11"/>
      <c r="AE70" s="11"/>
      <c r="AF70" s="11"/>
      <c r="AG70" s="44"/>
      <c r="AH70" s="83"/>
      <c r="AI70" s="83"/>
      <c r="AJ70" s="48" t="e">
        <f t="shared" si="57"/>
        <v>#DIV/0!</v>
      </c>
      <c r="AK70" s="48" t="e">
        <f t="shared" si="58"/>
        <v>#DIV/0!</v>
      </c>
      <c r="AL70" s="48"/>
      <c r="AM70" s="48" t="str">
        <f t="shared" si="59"/>
        <v>Zr-95</v>
      </c>
    </row>
    <row r="71" spans="2:56" ht="15.75" customHeight="1" x14ac:dyDescent="0.25">
      <c r="B71" s="6" t="s">
        <v>37</v>
      </c>
      <c r="C71" s="23">
        <v>41095</v>
      </c>
      <c r="D71" s="23" t="s">
        <v>244</v>
      </c>
      <c r="E71" s="25">
        <v>2.02169E-5</v>
      </c>
      <c r="F71" s="25" t="s">
        <v>208</v>
      </c>
      <c r="G71" s="25" t="s">
        <v>162</v>
      </c>
      <c r="H71" s="6" t="s">
        <v>38</v>
      </c>
      <c r="I71" s="20"/>
      <c r="J71" s="14">
        <v>35</v>
      </c>
      <c r="K71" s="17"/>
      <c r="L71" s="17"/>
      <c r="M71" s="12">
        <f t="shared" si="60"/>
        <v>3024000</v>
      </c>
      <c r="N71" s="12">
        <f t="shared" si="50"/>
        <v>2.292153374867544E-7</v>
      </c>
      <c r="O71" s="30">
        <f t="shared" si="51"/>
        <v>1.0000000000000001E-24</v>
      </c>
      <c r="P71" s="30">
        <f t="shared" si="52"/>
        <v>13978830.671413144</v>
      </c>
      <c r="Q71" s="10">
        <f t="shared" si="53"/>
        <v>2.0216899999999996E+19</v>
      </c>
      <c r="R71" s="10">
        <f t="shared" si="54"/>
        <v>2.8260862180089234E+26</v>
      </c>
      <c r="S71" s="58">
        <f t="shared" si="55"/>
        <v>6.4778230622758076E+19</v>
      </c>
      <c r="T71" s="110"/>
      <c r="U71" s="47" t="str">
        <f t="shared" si="56"/>
        <v>Isot elem trans</v>
      </c>
      <c r="V71" s="47"/>
      <c r="W71" s="47"/>
      <c r="X71" s="56"/>
      <c r="Y71" s="53"/>
      <c r="Z71" s="11"/>
      <c r="AA71" s="11"/>
      <c r="AB71" s="11"/>
      <c r="AC71" s="11"/>
      <c r="AD71" s="11"/>
      <c r="AE71" s="11"/>
      <c r="AF71" s="11"/>
      <c r="AG71" s="44"/>
      <c r="AH71" s="83"/>
      <c r="AI71" s="83"/>
      <c r="AJ71" s="48" t="e">
        <f t="shared" si="57"/>
        <v>#DIV/0!</v>
      </c>
      <c r="AK71" s="48" t="e">
        <f t="shared" si="58"/>
        <v>#DIV/0!</v>
      </c>
      <c r="AL71" s="48"/>
      <c r="AM71" s="48" t="str">
        <f t="shared" si="59"/>
        <v>Nb-95</v>
      </c>
    </row>
    <row r="72" spans="2:56" ht="15.75" customHeight="1" x14ac:dyDescent="0.25">
      <c r="B72" s="6" t="s">
        <v>87</v>
      </c>
      <c r="C72" s="23">
        <v>58140</v>
      </c>
      <c r="D72" s="23" t="s">
        <v>245</v>
      </c>
      <c r="E72" s="25">
        <v>1.4146499999999999E-4</v>
      </c>
      <c r="F72" s="25"/>
      <c r="G72" s="25" t="s">
        <v>171</v>
      </c>
      <c r="H72" s="7" t="s">
        <v>88</v>
      </c>
      <c r="I72" s="21"/>
      <c r="J72" s="14"/>
      <c r="K72" s="17"/>
      <c r="L72" s="17">
        <v>1.1000000000000001</v>
      </c>
      <c r="M72" s="12">
        <f t="shared" si="60"/>
        <v>66</v>
      </c>
      <c r="N72" s="12">
        <f t="shared" si="50"/>
        <v>1.050223000848402E-2</v>
      </c>
      <c r="O72" s="30">
        <f t="shared" si="51"/>
        <v>1.0000000000000001E-24</v>
      </c>
      <c r="P72" s="30">
        <f t="shared" si="52"/>
        <v>13978830.671413144</v>
      </c>
      <c r="Q72" s="10">
        <f t="shared" si="53"/>
        <v>1.4146499999999997E+20</v>
      </c>
      <c r="R72" s="10">
        <f t="shared" si="54"/>
        <v>1.9775152809314599E+27</v>
      </c>
      <c r="S72" s="58">
        <f t="shared" si="55"/>
        <v>2.0768320325634084E+25</v>
      </c>
      <c r="T72" s="110"/>
      <c r="U72" s="47" t="str">
        <f t="shared" si="56"/>
        <v>Isot tierras raras</v>
      </c>
      <c r="V72" s="47"/>
      <c r="W72" s="47"/>
      <c r="X72" s="56"/>
      <c r="Y72" s="53"/>
      <c r="Z72" s="11"/>
      <c r="AA72" s="11"/>
      <c r="AB72" s="11"/>
      <c r="AC72" s="11"/>
      <c r="AD72" s="11"/>
      <c r="AE72" s="11"/>
      <c r="AF72" s="11"/>
      <c r="AG72" s="44"/>
      <c r="AH72" s="83"/>
      <c r="AI72" s="83"/>
      <c r="AJ72" s="48" t="e">
        <f t="shared" si="57"/>
        <v>#DIV/0!</v>
      </c>
      <c r="AK72" s="48" t="e">
        <f t="shared" si="58"/>
        <v>#DIV/0!</v>
      </c>
      <c r="AL72" s="48"/>
      <c r="AM72" s="48" t="str">
        <f t="shared" si="59"/>
        <v>Sm-140</v>
      </c>
    </row>
    <row r="73" spans="2:56" ht="15.75" customHeight="1" x14ac:dyDescent="0.25">
      <c r="B73" s="6" t="s">
        <v>89</v>
      </c>
      <c r="C73" s="23">
        <v>58141</v>
      </c>
      <c r="D73" s="23" t="s">
        <v>245</v>
      </c>
      <c r="E73" s="25">
        <v>2.3359599999999999E-5</v>
      </c>
      <c r="F73" s="25"/>
      <c r="G73" s="25" t="s">
        <v>172</v>
      </c>
      <c r="H73" s="7" t="s">
        <v>90</v>
      </c>
      <c r="I73" s="21"/>
      <c r="J73" s="14"/>
      <c r="K73" s="17"/>
      <c r="L73" s="17">
        <v>9.9</v>
      </c>
      <c r="M73" s="12">
        <f t="shared" si="60"/>
        <v>594</v>
      </c>
      <c r="N73" s="12">
        <f t="shared" si="50"/>
        <v>1.1669144453871133E-3</v>
      </c>
      <c r="O73" s="30">
        <f t="shared" si="51"/>
        <v>1.0000000000000001E-24</v>
      </c>
      <c r="P73" s="30">
        <f t="shared" si="52"/>
        <v>13978830.671413144</v>
      </c>
      <c r="Q73" s="10">
        <f t="shared" si="53"/>
        <v>2.3359599999999996E+19</v>
      </c>
      <c r="R73" s="10">
        <f t="shared" si="54"/>
        <v>3.2653989295194245E+26</v>
      </c>
      <c r="S73" s="58">
        <f t="shared" si="55"/>
        <v>3.8104411808078329E+23</v>
      </c>
      <c r="T73" s="110"/>
      <c r="U73" s="47" t="str">
        <f t="shared" si="56"/>
        <v>Isot tierras raras</v>
      </c>
      <c r="V73" s="47"/>
      <c r="W73" s="47"/>
      <c r="X73" s="56"/>
      <c r="Y73" s="53"/>
      <c r="Z73" s="11"/>
      <c r="AA73" s="11"/>
      <c r="AB73" s="11"/>
      <c r="AC73" s="11"/>
      <c r="AD73" s="11"/>
      <c r="AE73" s="11"/>
      <c r="AF73" s="11"/>
      <c r="AG73" s="44"/>
      <c r="AH73" s="83"/>
      <c r="AI73" s="83"/>
      <c r="AJ73" s="48" t="e">
        <f t="shared" si="57"/>
        <v>#DIV/0!</v>
      </c>
      <c r="AK73" s="48" t="e">
        <f t="shared" si="58"/>
        <v>#DIV/0!</v>
      </c>
      <c r="AL73" s="48"/>
      <c r="AM73" s="48" t="str">
        <f t="shared" si="59"/>
        <v>Sm-141</v>
      </c>
    </row>
    <row r="74" spans="2:56" ht="15.75" customHeight="1" x14ac:dyDescent="0.25">
      <c r="B74" s="6" t="s">
        <v>91</v>
      </c>
      <c r="C74" s="23">
        <v>58142</v>
      </c>
      <c r="D74" s="23" t="s">
        <v>245</v>
      </c>
      <c r="E74" s="25">
        <v>1.4424899999999999E-4</v>
      </c>
      <c r="F74" s="25"/>
      <c r="G74" s="25" t="s">
        <v>15</v>
      </c>
      <c r="H74" s="7" t="s">
        <v>92</v>
      </c>
      <c r="I74" s="21"/>
      <c r="J74" s="14"/>
      <c r="K74" s="17"/>
      <c r="L74" s="17">
        <v>1</v>
      </c>
      <c r="M74" s="12">
        <f t="shared" si="60"/>
        <v>60</v>
      </c>
      <c r="N74" s="12">
        <f t="shared" si="50"/>
        <v>1.1552453009332421E-2</v>
      </c>
      <c r="O74" s="30">
        <f t="shared" si="51"/>
        <v>1.0000000000000001E-24</v>
      </c>
      <c r="P74" s="30">
        <f t="shared" si="52"/>
        <v>13978830.671413144</v>
      </c>
      <c r="Q74" s="10">
        <f t="shared" si="53"/>
        <v>1.4424899999999998E+20</v>
      </c>
      <c r="R74" s="10">
        <f t="shared" si="54"/>
        <v>2.0164323455206745E+27</v>
      </c>
      <c r="S74" s="58">
        <f t="shared" si="55"/>
        <v>2.329473991812555E+25</v>
      </c>
      <c r="T74" s="110"/>
      <c r="U74" s="47" t="str">
        <f t="shared" si="56"/>
        <v>Isot tierras raras</v>
      </c>
      <c r="V74" s="47"/>
      <c r="W74" s="47"/>
      <c r="X74" s="56"/>
      <c r="Y74" s="53"/>
      <c r="Z74" s="11"/>
      <c r="AA74" s="11"/>
      <c r="AB74" s="11"/>
      <c r="AC74" s="11"/>
      <c r="AD74" s="11"/>
      <c r="AE74" s="11"/>
      <c r="AF74" s="11"/>
      <c r="AG74" s="44"/>
      <c r="AH74" s="83"/>
      <c r="AI74" s="83"/>
      <c r="AJ74" s="48" t="e">
        <f t="shared" si="57"/>
        <v>#DIV/0!</v>
      </c>
      <c r="AK74" s="48" t="e">
        <f t="shared" si="58"/>
        <v>#DIV/0!</v>
      </c>
      <c r="AL74" s="48"/>
      <c r="AM74" s="48" t="str">
        <f t="shared" si="59"/>
        <v>Sm-142</v>
      </c>
    </row>
    <row r="75" spans="2:56" ht="15.75" customHeight="1" x14ac:dyDescent="0.25">
      <c r="B75" s="6" t="s">
        <v>93</v>
      </c>
      <c r="C75" s="23">
        <v>58144</v>
      </c>
      <c r="D75" s="23" t="s">
        <v>245</v>
      </c>
      <c r="E75" s="25">
        <v>8.6627900000000005E-5</v>
      </c>
      <c r="F75" s="25"/>
      <c r="G75" s="25" t="s">
        <v>173</v>
      </c>
      <c r="H75" s="7" t="s">
        <v>94</v>
      </c>
      <c r="I75" s="21"/>
      <c r="J75" s="14"/>
      <c r="K75" s="17">
        <v>1.5</v>
      </c>
      <c r="L75" s="17"/>
      <c r="M75" s="12">
        <f t="shared" si="60"/>
        <v>5400</v>
      </c>
      <c r="N75" s="12">
        <f t="shared" si="50"/>
        <v>1.2836058899258246E-4</v>
      </c>
      <c r="O75" s="30">
        <f t="shared" si="51"/>
        <v>1.0000000000000001E-24</v>
      </c>
      <c r="P75" s="30">
        <f t="shared" si="52"/>
        <v>13978830.671413144</v>
      </c>
      <c r="Q75" s="10">
        <f t="shared" si="53"/>
        <v>8.66279E+19</v>
      </c>
      <c r="R75" s="10">
        <f t="shared" si="54"/>
        <v>1.2109567455201107E+27</v>
      </c>
      <c r="S75" s="58">
        <f t="shared" si="55"/>
        <v>1.5543912109950219E+23</v>
      </c>
      <c r="T75" s="110"/>
      <c r="U75" s="47" t="str">
        <f t="shared" si="56"/>
        <v>Isot tierras raras</v>
      </c>
      <c r="V75" s="47"/>
      <c r="W75" s="47"/>
      <c r="X75" s="56"/>
      <c r="Y75" s="53"/>
      <c r="Z75" s="11"/>
      <c r="AA75" s="11"/>
      <c r="AB75" s="11"/>
      <c r="AC75" s="11"/>
      <c r="AD75" s="11"/>
      <c r="AE75" s="11"/>
      <c r="AF75" s="11"/>
      <c r="AG75" s="44"/>
      <c r="AH75" s="83"/>
      <c r="AI75" s="83"/>
      <c r="AJ75" s="48" t="e">
        <f t="shared" si="57"/>
        <v>#DIV/0!</v>
      </c>
      <c r="AK75" s="48" t="e">
        <f t="shared" si="58"/>
        <v>#DIV/0!</v>
      </c>
      <c r="AL75" s="48"/>
      <c r="AM75" s="48" t="str">
        <f t="shared" si="59"/>
        <v>Sm-144</v>
      </c>
    </row>
    <row r="76" spans="2:56" ht="15.75" customHeight="1" x14ac:dyDescent="0.25">
      <c r="B76" s="6" t="s">
        <v>95</v>
      </c>
      <c r="C76" s="23">
        <v>59141</v>
      </c>
      <c r="D76" s="23" t="s">
        <v>245</v>
      </c>
      <c r="E76" s="25">
        <v>1.16698E-4</v>
      </c>
      <c r="F76" s="25"/>
      <c r="G76" s="25" t="s">
        <v>174</v>
      </c>
      <c r="H76" s="7" t="s">
        <v>96</v>
      </c>
      <c r="I76" s="21"/>
      <c r="J76" s="14"/>
      <c r="K76" s="17"/>
      <c r="L76" s="17">
        <v>2.6</v>
      </c>
      <c r="M76" s="12">
        <f t="shared" si="60"/>
        <v>156</v>
      </c>
      <c r="N76" s="12">
        <f t="shared" si="50"/>
        <v>4.4432511574355469E-3</v>
      </c>
      <c r="O76" s="30">
        <f t="shared" si="51"/>
        <v>1.0000000000000001E-24</v>
      </c>
      <c r="P76" s="30">
        <f t="shared" si="52"/>
        <v>13978830.671413144</v>
      </c>
      <c r="Q76" s="10">
        <f t="shared" si="53"/>
        <v>1.1669799999999998E+20</v>
      </c>
      <c r="R76" s="10">
        <f t="shared" si="54"/>
        <v>1.6313015816925707E+27</v>
      </c>
      <c r="S76" s="58">
        <f t="shared" si="55"/>
        <v>7.2482826409819534E+24</v>
      </c>
      <c r="T76" s="110"/>
      <c r="U76" s="47" t="str">
        <f t="shared" si="56"/>
        <v>Isot tierras raras</v>
      </c>
      <c r="V76" s="47"/>
      <c r="W76" s="47"/>
      <c r="X76" s="56"/>
      <c r="Y76" s="53"/>
      <c r="Z76" s="11"/>
      <c r="AA76" s="11"/>
      <c r="AB76" s="11"/>
      <c r="AC76" s="11"/>
      <c r="AD76" s="11"/>
      <c r="AE76" s="11"/>
      <c r="AF76" s="11"/>
      <c r="AG76" s="44"/>
      <c r="AH76" s="83"/>
      <c r="AI76" s="83"/>
      <c r="AJ76" s="48" t="e">
        <f t="shared" si="57"/>
        <v>#DIV/0!</v>
      </c>
      <c r="AK76" s="48" t="e">
        <f t="shared" si="58"/>
        <v>#DIV/0!</v>
      </c>
      <c r="AL76" s="48"/>
      <c r="AM76" s="48" t="str">
        <f t="shared" si="59"/>
        <v>Pm-141</v>
      </c>
    </row>
    <row r="77" spans="2:56" ht="15.75" customHeight="1" x14ac:dyDescent="0.25">
      <c r="B77" s="6" t="s">
        <v>97</v>
      </c>
      <c r="C77" s="23">
        <v>59143</v>
      </c>
      <c r="D77" s="23" t="s">
        <v>245</v>
      </c>
      <c r="E77" s="25">
        <v>1.0667E-5</v>
      </c>
      <c r="F77" s="25"/>
      <c r="G77" s="25" t="s">
        <v>175</v>
      </c>
      <c r="H77" s="7" t="s">
        <v>92</v>
      </c>
      <c r="I77" s="21"/>
      <c r="J77" s="14"/>
      <c r="K77" s="17"/>
      <c r="L77" s="17">
        <v>1</v>
      </c>
      <c r="M77" s="12">
        <f t="shared" si="60"/>
        <v>60</v>
      </c>
      <c r="N77" s="12">
        <f t="shared" si="50"/>
        <v>1.1552453009332421E-2</v>
      </c>
      <c r="O77" s="30">
        <f t="shared" si="51"/>
        <v>1.0000000000000001E-24</v>
      </c>
      <c r="P77" s="30">
        <f t="shared" si="52"/>
        <v>13978830.671413144</v>
      </c>
      <c r="Q77" s="10">
        <f t="shared" si="53"/>
        <v>1.0666999999999998E+19</v>
      </c>
      <c r="R77" s="10">
        <f t="shared" si="54"/>
        <v>1.4911218677196397E+26</v>
      </c>
      <c r="S77" s="58">
        <f t="shared" si="55"/>
        <v>1.7226115308019132E+24</v>
      </c>
      <c r="T77" s="110"/>
      <c r="U77" s="47" t="str">
        <f t="shared" si="56"/>
        <v>Isot tierras raras</v>
      </c>
      <c r="V77" s="47"/>
      <c r="W77" s="47"/>
      <c r="X77" s="56"/>
      <c r="Y77" s="53"/>
      <c r="Z77" s="11"/>
      <c r="AA77" s="11"/>
      <c r="AB77" s="11"/>
      <c r="AC77" s="11"/>
      <c r="AD77" s="11"/>
      <c r="AE77" s="11"/>
      <c r="AF77" s="11"/>
      <c r="AG77" s="44"/>
      <c r="AH77" s="83"/>
      <c r="AI77" s="83"/>
      <c r="AJ77" s="48" t="e">
        <f t="shared" si="57"/>
        <v>#DIV/0!</v>
      </c>
      <c r="AK77" s="48" t="e">
        <f t="shared" si="58"/>
        <v>#DIV/0!</v>
      </c>
      <c r="AL77" s="48"/>
      <c r="AM77" s="48" t="str">
        <f t="shared" si="59"/>
        <v>Pm-143</v>
      </c>
    </row>
    <row r="78" spans="2:56" ht="15.75" customHeight="1" x14ac:dyDescent="0.25">
      <c r="B78" s="6" t="s">
        <v>98</v>
      </c>
      <c r="C78" s="23">
        <v>60143</v>
      </c>
      <c r="D78" s="23" t="s">
        <v>245</v>
      </c>
      <c r="E78" s="25">
        <v>1.00964E-4</v>
      </c>
      <c r="F78" s="25"/>
      <c r="G78" s="25" t="s">
        <v>15</v>
      </c>
      <c r="H78" s="7" t="s">
        <v>99</v>
      </c>
      <c r="I78" s="21"/>
      <c r="J78" s="14"/>
      <c r="K78" s="17"/>
      <c r="L78" s="17">
        <v>3.7</v>
      </c>
      <c r="M78" s="12">
        <f t="shared" si="60"/>
        <v>222</v>
      </c>
      <c r="N78" s="12">
        <f t="shared" si="50"/>
        <v>3.1222845971168706E-3</v>
      </c>
      <c r="O78" s="30">
        <f t="shared" si="51"/>
        <v>1.0000000000000001E-24</v>
      </c>
      <c r="P78" s="30">
        <f t="shared" si="52"/>
        <v>13978830.671413144</v>
      </c>
      <c r="Q78" s="10">
        <f t="shared" si="53"/>
        <v>1.00964E+20</v>
      </c>
      <c r="R78" s="10">
        <f t="shared" si="54"/>
        <v>1.4113586599085568E+27</v>
      </c>
      <c r="S78" s="58">
        <f t="shared" si="55"/>
        <v>4.4066634048399946E+24</v>
      </c>
      <c r="T78" s="110"/>
      <c r="U78" s="47" t="str">
        <f t="shared" si="56"/>
        <v>Isot tierras raras</v>
      </c>
      <c r="V78" s="47"/>
      <c r="W78" s="47"/>
      <c r="X78" s="56"/>
      <c r="Y78" s="53"/>
      <c r="Z78" s="11"/>
      <c r="AA78" s="11"/>
      <c r="AB78" s="11"/>
      <c r="AC78" s="11"/>
      <c r="AD78" s="11"/>
      <c r="AE78" s="11"/>
      <c r="AF78" s="11"/>
      <c r="AG78" s="44"/>
      <c r="AH78" s="83"/>
      <c r="AI78" s="83"/>
      <c r="AJ78" s="48" t="e">
        <f t="shared" si="57"/>
        <v>#DIV/0!</v>
      </c>
      <c r="AK78" s="48" t="e">
        <f t="shared" si="58"/>
        <v>#DIV/0!</v>
      </c>
      <c r="AL78" s="48"/>
      <c r="AM78" s="48" t="str">
        <f t="shared" si="59"/>
        <v>Nd-143</v>
      </c>
    </row>
    <row r="79" spans="2:56" ht="15.75" customHeight="1" x14ac:dyDescent="0.25">
      <c r="B79" s="6" t="s">
        <v>100</v>
      </c>
      <c r="C79" s="23">
        <v>60144</v>
      </c>
      <c r="D79" s="23" t="s">
        <v>245</v>
      </c>
      <c r="E79" s="25">
        <v>7.1398700000000005E-5</v>
      </c>
      <c r="F79" s="25"/>
      <c r="G79" s="25" t="s">
        <v>176</v>
      </c>
      <c r="H79" s="7" t="s">
        <v>101</v>
      </c>
      <c r="I79" s="21"/>
      <c r="J79" s="14"/>
      <c r="K79" s="17"/>
      <c r="L79" s="17">
        <v>2.2999999999999998</v>
      </c>
      <c r="M79" s="12">
        <f t="shared" si="60"/>
        <v>138</v>
      </c>
      <c r="N79" s="12">
        <f t="shared" si="50"/>
        <v>5.0228056562314875E-3</v>
      </c>
      <c r="O79" s="30">
        <f t="shared" si="51"/>
        <v>1.0000000000000001E-24</v>
      </c>
      <c r="P79" s="30">
        <f t="shared" si="52"/>
        <v>13978830.671413144</v>
      </c>
      <c r="Q79" s="10">
        <f t="shared" si="53"/>
        <v>7.13987E+19</v>
      </c>
      <c r="R79" s="10">
        <f t="shared" si="54"/>
        <v>9.9807033745902564E+26</v>
      </c>
      <c r="S79" s="58">
        <f t="shared" si="55"/>
        <v>5.0131133363060632E+24</v>
      </c>
      <c r="T79" s="110"/>
      <c r="U79" s="47" t="str">
        <f t="shared" si="56"/>
        <v>Isot tierras raras</v>
      </c>
      <c r="V79" s="47"/>
      <c r="W79" s="47"/>
      <c r="X79" s="56"/>
      <c r="Y79" s="53"/>
      <c r="Z79" s="11"/>
      <c r="AA79" s="11"/>
      <c r="AB79" s="11"/>
      <c r="AC79" s="11"/>
      <c r="AD79" s="11"/>
      <c r="AE79" s="11"/>
      <c r="AF79" s="11"/>
      <c r="AG79" s="44"/>
      <c r="AH79" s="83"/>
      <c r="AI79" s="83"/>
      <c r="AJ79" s="48" t="e">
        <f t="shared" si="57"/>
        <v>#DIV/0!</v>
      </c>
      <c r="AK79" s="48" t="e">
        <f t="shared" si="58"/>
        <v>#DIV/0!</v>
      </c>
      <c r="AL79" s="48"/>
      <c r="AM79" s="48" t="str">
        <f t="shared" si="59"/>
        <v>Nd-144</v>
      </c>
    </row>
    <row r="80" spans="2:56" ht="15.75" hidden="1" customHeight="1" x14ac:dyDescent="0.25">
      <c r="B80" s="6" t="s">
        <v>9</v>
      </c>
      <c r="C80" s="23">
        <v>64157</v>
      </c>
      <c r="D80" s="23"/>
      <c r="E80" s="25">
        <v>1.7608699999999999E-8</v>
      </c>
      <c r="F80" s="25"/>
      <c r="G80" s="25" t="s">
        <v>15</v>
      </c>
      <c r="H80" s="22" t="s">
        <v>15</v>
      </c>
      <c r="I80" s="21"/>
      <c r="J80" s="14"/>
      <c r="K80" s="17"/>
      <c r="L80" s="17"/>
      <c r="M80" s="12">
        <f t="shared" si="60"/>
        <v>0</v>
      </c>
      <c r="N80" s="8"/>
      <c r="O80" s="30">
        <f t="shared" si="51"/>
        <v>1.0000000000000001E-24</v>
      </c>
      <c r="P80" s="30">
        <f t="shared" si="52"/>
        <v>13978830.671413144</v>
      </c>
      <c r="Q80" s="10">
        <f t="shared" si="53"/>
        <v>1.7608699999999998E+16</v>
      </c>
      <c r="R80" s="10">
        <f t="shared" si="54"/>
        <v>2.4614903564371262E+23</v>
      </c>
      <c r="S80" s="10">
        <f t="shared" si="55"/>
        <v>0</v>
      </c>
      <c r="T80" s="46"/>
      <c r="U80" s="46"/>
      <c r="V80" s="46"/>
      <c r="W80" s="46"/>
      <c r="X80" s="55">
        <v>0.01</v>
      </c>
      <c r="Y80" s="9"/>
      <c r="Z80" s="11">
        <v>0.999</v>
      </c>
      <c r="AA80" s="11"/>
      <c r="AB80" s="11"/>
      <c r="AC80" s="11"/>
      <c r="AD80" s="11"/>
      <c r="AE80" s="11"/>
      <c r="AF80" s="11"/>
      <c r="AG80" s="11"/>
      <c r="AH80" s="78"/>
      <c r="AI80" s="78"/>
      <c r="AJ80" s="46">
        <f t="shared" ref="AJ80:AJ82" si="61">S80*X80*(1-Z80)</f>
        <v>0</v>
      </c>
      <c r="AK80" s="42"/>
      <c r="AL80" s="42"/>
      <c r="AM80" s="42"/>
    </row>
    <row r="81" spans="2:39" ht="15.75" customHeight="1" x14ac:dyDescent="0.25">
      <c r="B81" s="6" t="s">
        <v>102</v>
      </c>
      <c r="C81" s="23">
        <v>60145</v>
      </c>
      <c r="D81" s="23" t="s">
        <v>245</v>
      </c>
      <c r="E81" s="25">
        <v>8.4787400000000001E-5</v>
      </c>
      <c r="F81" s="25"/>
      <c r="G81" s="25" t="s">
        <v>15</v>
      </c>
      <c r="H81" s="7" t="s">
        <v>103</v>
      </c>
      <c r="I81" s="21"/>
      <c r="J81" s="14"/>
      <c r="K81" s="17">
        <v>3.5</v>
      </c>
      <c r="L81" s="17"/>
      <c r="M81" s="12">
        <f t="shared" si="60"/>
        <v>12600</v>
      </c>
      <c r="N81" s="12">
        <f>LN(2)/(M81)</f>
        <v>5.5011680996821053E-5</v>
      </c>
      <c r="O81" s="30">
        <f t="shared" si="51"/>
        <v>1.0000000000000001E-24</v>
      </c>
      <c r="P81" s="30">
        <f t="shared" si="52"/>
        <v>13978830.671413144</v>
      </c>
      <c r="Q81" s="10">
        <f t="shared" si="53"/>
        <v>8.4787399999999984E+19</v>
      </c>
      <c r="R81" s="10">
        <f t="shared" si="54"/>
        <v>1.1852287076693746E+27</v>
      </c>
      <c r="S81" s="58">
        <f t="shared" si="55"/>
        <v>6.5201423574582107E+22</v>
      </c>
      <c r="T81" s="110"/>
      <c r="U81" s="47" t="str">
        <f>D81</f>
        <v>Isot tierras raras</v>
      </c>
      <c r="V81" s="47"/>
      <c r="W81" s="47"/>
      <c r="X81" s="56"/>
      <c r="Y81" s="53"/>
      <c r="Z81" s="11"/>
      <c r="AA81" s="11"/>
      <c r="AB81" s="11"/>
      <c r="AC81" s="11"/>
      <c r="AD81" s="11"/>
      <c r="AE81" s="11"/>
      <c r="AF81" s="11"/>
      <c r="AG81" s="44"/>
      <c r="AH81" s="83"/>
      <c r="AI81" s="83"/>
      <c r="AJ81" s="48" t="e">
        <f>$S81*(1/X81)*(1/Z81)*(1/AB81)*(1/AD81)*(1/AF81)</f>
        <v>#DIV/0!</v>
      </c>
      <c r="AK81" s="48" t="e">
        <f>$S81*(1/Y81)*(1/AA81)*(1/AC81)*(1/AE81)*(1/AG81)</f>
        <v>#DIV/0!</v>
      </c>
      <c r="AL81" s="48"/>
      <c r="AM81" s="48" t="str">
        <f>B81</f>
        <v>Nd-145</v>
      </c>
    </row>
    <row r="82" spans="2:39" ht="15.75" hidden="1" customHeight="1" x14ac:dyDescent="0.25">
      <c r="B82" s="6" t="s">
        <v>131</v>
      </c>
      <c r="C82" s="23">
        <v>92236</v>
      </c>
      <c r="D82" s="23"/>
      <c r="E82" s="25">
        <v>4.3358399999999999E-4</v>
      </c>
      <c r="F82" s="25" t="s">
        <v>221</v>
      </c>
      <c r="G82" s="25" t="s">
        <v>187</v>
      </c>
      <c r="H82" s="7" t="s">
        <v>132</v>
      </c>
      <c r="I82" s="21"/>
      <c r="J82" s="14"/>
      <c r="K82" s="17"/>
      <c r="L82" s="17"/>
      <c r="M82" s="12">
        <f t="shared" si="60"/>
        <v>0</v>
      </c>
      <c r="N82" s="8"/>
      <c r="O82" s="30">
        <f t="shared" si="51"/>
        <v>1.0000000000000001E-24</v>
      </c>
      <c r="P82" s="30">
        <f t="shared" si="52"/>
        <v>13978830.671413144</v>
      </c>
      <c r="Q82" s="10">
        <f t="shared" si="53"/>
        <v>4.3358399999999993E+20</v>
      </c>
      <c r="R82" s="10">
        <f t="shared" si="54"/>
        <v>6.0609973178339958E+27</v>
      </c>
      <c r="S82" s="10">
        <f t="shared" si="55"/>
        <v>0</v>
      </c>
      <c r="T82" s="46"/>
      <c r="U82" s="46"/>
      <c r="V82" s="46"/>
      <c r="W82" s="46"/>
      <c r="X82" s="55">
        <v>0.01</v>
      </c>
      <c r="Y82" s="9"/>
      <c r="Z82" s="11">
        <v>0.999</v>
      </c>
      <c r="AA82" s="11"/>
      <c r="AB82" s="11"/>
      <c r="AC82" s="11"/>
      <c r="AD82" s="11"/>
      <c r="AE82" s="11"/>
      <c r="AF82" s="11"/>
      <c r="AG82" s="11"/>
      <c r="AH82" s="78"/>
      <c r="AI82" s="78"/>
      <c r="AJ82" s="46">
        <f t="shared" si="61"/>
        <v>0</v>
      </c>
      <c r="AK82" s="42"/>
      <c r="AL82" s="42"/>
      <c r="AM82" s="42"/>
    </row>
    <row r="83" spans="2:39" ht="15.75" customHeight="1" x14ac:dyDescent="0.25">
      <c r="B83" s="6" t="s">
        <v>104</v>
      </c>
      <c r="C83" s="23">
        <v>60146</v>
      </c>
      <c r="D83" s="23" t="s">
        <v>245</v>
      </c>
      <c r="E83" s="25">
        <v>8.2334499999999996E-5</v>
      </c>
      <c r="F83" s="25"/>
      <c r="G83" s="25" t="s">
        <v>15</v>
      </c>
      <c r="H83" s="7" t="s">
        <v>105</v>
      </c>
      <c r="I83" s="21"/>
      <c r="J83" s="14">
        <v>13.5</v>
      </c>
      <c r="K83" s="17"/>
      <c r="L83" s="17"/>
      <c r="M83" s="12">
        <f t="shared" si="60"/>
        <v>1166400</v>
      </c>
      <c r="N83" s="12">
        <f t="shared" ref="N83:N93" si="62">LN(2)/(M83)</f>
        <v>5.9426198607677065E-7</v>
      </c>
      <c r="O83" s="30">
        <f t="shared" si="51"/>
        <v>1.0000000000000001E-24</v>
      </c>
      <c r="P83" s="30">
        <f t="shared" si="52"/>
        <v>13978830.671413144</v>
      </c>
      <c r="Q83" s="10">
        <f t="shared" si="53"/>
        <v>8.2334499999999984E+19</v>
      </c>
      <c r="R83" s="10">
        <f t="shared" si="54"/>
        <v>1.1509400339154653E+27</v>
      </c>
      <c r="S83" s="58">
        <f t="shared" si="55"/>
        <v>6.8395991040987011E+20</v>
      </c>
      <c r="T83" s="110"/>
      <c r="U83" s="47" t="str">
        <f t="shared" ref="U83:U93" si="63">D83</f>
        <v>Isot tierras raras</v>
      </c>
      <c r="V83" s="47"/>
      <c r="W83" s="47"/>
      <c r="X83" s="56"/>
      <c r="Y83" s="53"/>
      <c r="Z83" s="11"/>
      <c r="AA83" s="11"/>
      <c r="AB83" s="11"/>
      <c r="AC83" s="11"/>
      <c r="AD83" s="11"/>
      <c r="AE83" s="11"/>
      <c r="AF83" s="11"/>
      <c r="AG83" s="44"/>
      <c r="AH83" s="83"/>
      <c r="AI83" s="83"/>
      <c r="AJ83" s="48" t="e">
        <f t="shared" ref="AJ83:AJ93" si="64">$S83*(1/X83)*(1/Z83)*(1/AB83)*(1/AD83)*(1/AF83)</f>
        <v>#DIV/0!</v>
      </c>
      <c r="AK83" s="48" t="e">
        <f t="shared" ref="AK83:AK93" si="65">$S83*(1/Y83)*(1/AA83)*(1/AC83)*(1/AE83)*(1/AG83)</f>
        <v>#DIV/0!</v>
      </c>
      <c r="AL83" s="48"/>
      <c r="AM83" s="48" t="str">
        <f t="shared" ref="AM83:AM93" si="66">B83</f>
        <v>Nd-146</v>
      </c>
    </row>
    <row r="84" spans="2:39" ht="15.75" customHeight="1" x14ac:dyDescent="0.25">
      <c r="B84" s="6" t="s">
        <v>106</v>
      </c>
      <c r="C84" s="23">
        <v>60147</v>
      </c>
      <c r="D84" s="23" t="s">
        <v>245</v>
      </c>
      <c r="E84" s="25">
        <v>3.3657100000000001E-6</v>
      </c>
      <c r="F84" s="25" t="s">
        <v>219</v>
      </c>
      <c r="G84" s="25" t="s">
        <v>177</v>
      </c>
      <c r="H84" s="7" t="s">
        <v>107</v>
      </c>
      <c r="I84" s="21"/>
      <c r="J84" s="14"/>
      <c r="K84" s="17">
        <v>1.8</v>
      </c>
      <c r="L84" s="17"/>
      <c r="M84" s="12">
        <f t="shared" si="60"/>
        <v>6480</v>
      </c>
      <c r="N84" s="12">
        <f t="shared" si="62"/>
        <v>1.0696715749381872E-4</v>
      </c>
      <c r="O84" s="30">
        <f t="shared" si="51"/>
        <v>1.0000000000000001E-24</v>
      </c>
      <c r="P84" s="30">
        <f t="shared" si="52"/>
        <v>13978830.671413144</v>
      </c>
      <c r="Q84" s="10">
        <f t="shared" si="53"/>
        <v>3.3657099999999995E+18</v>
      </c>
      <c r="R84" s="10">
        <f t="shared" si="54"/>
        <v>4.7048690179081928E+25</v>
      </c>
      <c r="S84" s="58">
        <f t="shared" si="55"/>
        <v>5.0326646522637388E+21</v>
      </c>
      <c r="T84" s="110"/>
      <c r="U84" s="47" t="str">
        <f t="shared" si="63"/>
        <v>Isot tierras raras</v>
      </c>
      <c r="V84" s="47"/>
      <c r="W84" s="47"/>
      <c r="X84" s="56"/>
      <c r="Y84" s="53"/>
      <c r="Z84" s="11"/>
      <c r="AA84" s="11"/>
      <c r="AB84" s="11"/>
      <c r="AC84" s="11"/>
      <c r="AD84" s="11"/>
      <c r="AE84" s="11"/>
      <c r="AF84" s="11"/>
      <c r="AG84" s="44"/>
      <c r="AH84" s="83"/>
      <c r="AI84" s="83"/>
      <c r="AJ84" s="48" t="e">
        <f t="shared" si="64"/>
        <v>#DIV/0!</v>
      </c>
      <c r="AK84" s="48" t="e">
        <f t="shared" si="65"/>
        <v>#DIV/0!</v>
      </c>
      <c r="AL84" s="48"/>
      <c r="AM84" s="48" t="str">
        <f t="shared" si="66"/>
        <v>Nd-147</v>
      </c>
    </row>
    <row r="85" spans="2:39" ht="15.75" customHeight="1" x14ac:dyDescent="0.25">
      <c r="B85" s="6" t="s">
        <v>109</v>
      </c>
      <c r="C85" s="23">
        <v>60150</v>
      </c>
      <c r="D85" s="23" t="s">
        <v>245</v>
      </c>
      <c r="E85" s="25">
        <v>1.8382399999999999E-5</v>
      </c>
      <c r="F85" s="25"/>
      <c r="G85" s="25" t="s">
        <v>15</v>
      </c>
      <c r="H85" s="7" t="s">
        <v>110</v>
      </c>
      <c r="I85" s="21">
        <v>7E+18</v>
      </c>
      <c r="J85" s="14"/>
      <c r="K85" s="17"/>
      <c r="L85" s="17"/>
      <c r="M85" s="12">
        <f t="shared" si="60"/>
        <v>2.2075200000000002E+26</v>
      </c>
      <c r="N85" s="12">
        <f t="shared" si="62"/>
        <v>3.1399361299555395E-27</v>
      </c>
      <c r="O85" s="30">
        <f t="shared" si="51"/>
        <v>1.0000000000000001E-24</v>
      </c>
      <c r="P85" s="30">
        <f t="shared" si="52"/>
        <v>13978830.671413144</v>
      </c>
      <c r="Q85" s="10">
        <f t="shared" si="53"/>
        <v>1.8382399999999996E+19</v>
      </c>
      <c r="R85" s="10">
        <f t="shared" si="54"/>
        <v>2.5696445693418491E+26</v>
      </c>
      <c r="S85" s="58">
        <f t="shared" si="55"/>
        <v>0.80685198244205147</v>
      </c>
      <c r="T85" s="110"/>
      <c r="U85" s="47" t="str">
        <f t="shared" si="63"/>
        <v>Isot tierras raras</v>
      </c>
      <c r="V85" s="47"/>
      <c r="W85" s="47"/>
      <c r="X85" s="56"/>
      <c r="Y85" s="53"/>
      <c r="Z85" s="11"/>
      <c r="AA85" s="11"/>
      <c r="AB85" s="11"/>
      <c r="AC85" s="11"/>
      <c r="AD85" s="11"/>
      <c r="AE85" s="11"/>
      <c r="AF85" s="11"/>
      <c r="AG85" s="44"/>
      <c r="AH85" s="83"/>
      <c r="AI85" s="83"/>
      <c r="AJ85" s="48" t="e">
        <f t="shared" si="64"/>
        <v>#DIV/0!</v>
      </c>
      <c r="AK85" s="48" t="e">
        <f t="shared" si="65"/>
        <v>#DIV/0!</v>
      </c>
      <c r="AL85" s="48"/>
      <c r="AM85" s="48" t="str">
        <f t="shared" si="66"/>
        <v>Nd-150</v>
      </c>
    </row>
    <row r="86" spans="2:39" ht="15.75" customHeight="1" x14ac:dyDescent="0.25">
      <c r="B86" s="6" t="s">
        <v>115</v>
      </c>
      <c r="C86" s="23">
        <v>62147</v>
      </c>
      <c r="D86" s="23" t="s">
        <v>245</v>
      </c>
      <c r="E86" s="25">
        <v>3.1402800000000001E-6</v>
      </c>
      <c r="F86" s="25" t="s">
        <v>220</v>
      </c>
      <c r="G86" s="25" t="s">
        <v>180</v>
      </c>
      <c r="H86" s="7" t="s">
        <v>116</v>
      </c>
      <c r="I86" s="21"/>
      <c r="J86" s="14"/>
      <c r="K86" s="17">
        <v>38</v>
      </c>
      <c r="L86" s="17"/>
      <c r="M86" s="12">
        <f t="shared" si="60"/>
        <v>136800</v>
      </c>
      <c r="N86" s="12">
        <f t="shared" si="62"/>
        <v>5.0668653549703601E-6</v>
      </c>
      <c r="O86" s="30">
        <f t="shared" si="51"/>
        <v>1.0000000000000001E-24</v>
      </c>
      <c r="P86" s="30">
        <f t="shared" si="52"/>
        <v>13978830.671413144</v>
      </c>
      <c r="Q86" s="10">
        <f t="shared" si="53"/>
        <v>3.14028E+18</v>
      </c>
      <c r="R86" s="10">
        <f t="shared" si="54"/>
        <v>4.3897442380825266E+25</v>
      </c>
      <c r="S86" s="58">
        <f t="shared" si="55"/>
        <v>2.2242242997121116E+20</v>
      </c>
      <c r="T86" s="110"/>
      <c r="U86" s="47" t="str">
        <f t="shared" si="63"/>
        <v>Isot tierras raras</v>
      </c>
      <c r="V86" s="47"/>
      <c r="W86" s="47"/>
      <c r="X86" s="56"/>
      <c r="Y86" s="53"/>
      <c r="Z86" s="11"/>
      <c r="AA86" s="11"/>
      <c r="AB86" s="11"/>
      <c r="AC86" s="11"/>
      <c r="AD86" s="11"/>
      <c r="AE86" s="11"/>
      <c r="AF86" s="11"/>
      <c r="AG86" s="44"/>
      <c r="AH86" s="83"/>
      <c r="AI86" s="83"/>
      <c r="AJ86" s="48" t="e">
        <f t="shared" si="64"/>
        <v>#DIV/0!</v>
      </c>
      <c r="AK86" s="48" t="e">
        <f t="shared" si="65"/>
        <v>#DIV/0!</v>
      </c>
      <c r="AL86" s="48"/>
      <c r="AM86" s="48" t="str">
        <f t="shared" si="66"/>
        <v>Gd-147</v>
      </c>
    </row>
    <row r="87" spans="2:39" ht="15.75" customHeight="1" x14ac:dyDescent="0.25">
      <c r="B87" s="6" t="s">
        <v>117</v>
      </c>
      <c r="C87" s="23">
        <v>62149</v>
      </c>
      <c r="D87" s="23" t="s">
        <v>245</v>
      </c>
      <c r="E87" s="25">
        <v>3.2433899999999998E-7</v>
      </c>
      <c r="F87" s="25"/>
      <c r="G87" s="25" t="s">
        <v>181</v>
      </c>
      <c r="H87" s="7" t="s">
        <v>118</v>
      </c>
      <c r="I87" s="21"/>
      <c r="J87" s="14"/>
      <c r="K87" s="17">
        <v>1.7</v>
      </c>
      <c r="L87" s="17"/>
      <c r="M87" s="12">
        <f t="shared" si="60"/>
        <v>6120</v>
      </c>
      <c r="N87" s="12">
        <f t="shared" si="62"/>
        <v>1.1325934322874924E-4</v>
      </c>
      <c r="O87" s="30">
        <f t="shared" si="51"/>
        <v>1.0000000000000001E-24</v>
      </c>
      <c r="P87" s="30">
        <f t="shared" si="52"/>
        <v>13978830.671413144</v>
      </c>
      <c r="Q87" s="10">
        <f t="shared" si="53"/>
        <v>3.2433899999999994E+17</v>
      </c>
      <c r="R87" s="10">
        <f t="shared" si="54"/>
        <v>4.5338799611354667E+24</v>
      </c>
      <c r="S87" s="58">
        <f t="shared" si="55"/>
        <v>5.1350426667619005E+20</v>
      </c>
      <c r="T87" s="110"/>
      <c r="U87" s="47" t="str">
        <f t="shared" si="63"/>
        <v>Isot tierras raras</v>
      </c>
      <c r="V87" s="47"/>
      <c r="W87" s="47"/>
      <c r="X87" s="56"/>
      <c r="Y87" s="53"/>
      <c r="Z87" s="11"/>
      <c r="AA87" s="11"/>
      <c r="AB87" s="11"/>
      <c r="AC87" s="11"/>
      <c r="AD87" s="11"/>
      <c r="AE87" s="11"/>
      <c r="AF87" s="11"/>
      <c r="AG87" s="44"/>
      <c r="AH87" s="83"/>
      <c r="AI87" s="83"/>
      <c r="AJ87" s="48" t="e">
        <f t="shared" si="64"/>
        <v>#DIV/0!</v>
      </c>
      <c r="AK87" s="48" t="e">
        <f t="shared" si="65"/>
        <v>#DIV/0!</v>
      </c>
      <c r="AL87" s="48"/>
      <c r="AM87" s="48" t="str">
        <f t="shared" si="66"/>
        <v>Gd-149</v>
      </c>
    </row>
    <row r="88" spans="2:39" ht="15.75" customHeight="1" x14ac:dyDescent="0.25">
      <c r="B88" s="6" t="s">
        <v>119</v>
      </c>
      <c r="C88" s="23">
        <v>62150</v>
      </c>
      <c r="D88" s="23" t="s">
        <v>245</v>
      </c>
      <c r="E88" s="25">
        <v>2.4283100000000001E-5</v>
      </c>
      <c r="F88" s="25"/>
      <c r="G88" s="25" t="s">
        <v>15</v>
      </c>
      <c r="H88" s="7" t="s">
        <v>120</v>
      </c>
      <c r="I88" s="21"/>
      <c r="J88" s="14"/>
      <c r="K88" s="17">
        <v>18.5</v>
      </c>
      <c r="L88" s="17"/>
      <c r="M88" s="12">
        <f t="shared" si="60"/>
        <v>66600</v>
      </c>
      <c r="N88" s="12">
        <f t="shared" si="62"/>
        <v>1.0407615323722902E-5</v>
      </c>
      <c r="O88" s="30">
        <f t="shared" si="51"/>
        <v>1.0000000000000001E-24</v>
      </c>
      <c r="P88" s="30">
        <f t="shared" si="52"/>
        <v>13978830.671413144</v>
      </c>
      <c r="Q88" s="10">
        <f t="shared" si="53"/>
        <v>2.42831E+19</v>
      </c>
      <c r="R88" s="10">
        <f t="shared" si="54"/>
        <v>3.3944934307699249E+26</v>
      </c>
      <c r="S88" s="58">
        <f t="shared" si="55"/>
        <v>3.5328581846357796E+21</v>
      </c>
      <c r="T88" s="110"/>
      <c r="U88" s="47" t="str">
        <f t="shared" si="63"/>
        <v>Isot tierras raras</v>
      </c>
      <c r="V88" s="47"/>
      <c r="W88" s="47"/>
      <c r="X88" s="56"/>
      <c r="Y88" s="53"/>
      <c r="Z88" s="11"/>
      <c r="AA88" s="11"/>
      <c r="AB88" s="11"/>
      <c r="AC88" s="11"/>
      <c r="AD88" s="11"/>
      <c r="AE88" s="11"/>
      <c r="AF88" s="11"/>
      <c r="AG88" s="44"/>
      <c r="AH88" s="83"/>
      <c r="AI88" s="83"/>
      <c r="AJ88" s="48" t="e">
        <f t="shared" si="64"/>
        <v>#DIV/0!</v>
      </c>
      <c r="AK88" s="48" t="e">
        <f t="shared" si="65"/>
        <v>#DIV/0!</v>
      </c>
      <c r="AL88" s="48"/>
      <c r="AM88" s="48" t="str">
        <f t="shared" si="66"/>
        <v>Gd-150</v>
      </c>
    </row>
    <row r="89" spans="2:39" ht="15.75" customHeight="1" x14ac:dyDescent="0.25">
      <c r="B89" s="6" t="s">
        <v>121</v>
      </c>
      <c r="C89" s="23">
        <v>62151</v>
      </c>
      <c r="D89" s="23" t="s">
        <v>245</v>
      </c>
      <c r="E89" s="25">
        <v>1.86627E-6</v>
      </c>
      <c r="F89" s="25"/>
      <c r="G89" s="25" t="s">
        <v>182</v>
      </c>
      <c r="H89" s="7" t="s">
        <v>92</v>
      </c>
      <c r="I89" s="21"/>
      <c r="J89" s="14"/>
      <c r="K89" s="17"/>
      <c r="L89" s="17">
        <v>1</v>
      </c>
      <c r="M89" s="12">
        <f t="shared" si="60"/>
        <v>60</v>
      </c>
      <c r="N89" s="12">
        <f t="shared" si="62"/>
        <v>1.1552453009332421E-2</v>
      </c>
      <c r="O89" s="30">
        <f t="shared" si="51"/>
        <v>1.0000000000000001E-24</v>
      </c>
      <c r="P89" s="30">
        <f t="shared" si="52"/>
        <v>13978830.671413144</v>
      </c>
      <c r="Q89" s="10">
        <f t="shared" si="53"/>
        <v>1.8662699999999997E+18</v>
      </c>
      <c r="R89" s="10">
        <f t="shared" si="54"/>
        <v>2.6088272317138204E+25</v>
      </c>
      <c r="S89" s="58">
        <f t="shared" si="55"/>
        <v>3.0138354003840695E+23</v>
      </c>
      <c r="T89" s="110"/>
      <c r="U89" s="47" t="str">
        <f t="shared" si="63"/>
        <v>Isot tierras raras</v>
      </c>
      <c r="V89" s="47"/>
      <c r="W89" s="47"/>
      <c r="X89" s="56"/>
      <c r="Y89" s="53"/>
      <c r="Z89" s="11"/>
      <c r="AA89" s="11"/>
      <c r="AB89" s="11"/>
      <c r="AC89" s="11"/>
      <c r="AD89" s="11"/>
      <c r="AE89" s="11"/>
      <c r="AF89" s="11"/>
      <c r="AG89" s="44"/>
      <c r="AH89" s="83"/>
      <c r="AI89" s="83"/>
      <c r="AJ89" s="48" t="e">
        <f t="shared" si="64"/>
        <v>#DIV/0!</v>
      </c>
      <c r="AK89" s="48" t="e">
        <f t="shared" si="65"/>
        <v>#DIV/0!</v>
      </c>
      <c r="AL89" s="48"/>
      <c r="AM89" s="48" t="str">
        <f t="shared" si="66"/>
        <v>Gd-151</v>
      </c>
    </row>
    <row r="90" spans="2:39" ht="15.75" customHeight="1" x14ac:dyDescent="0.25">
      <c r="B90" s="6" t="s">
        <v>122</v>
      </c>
      <c r="C90" s="23">
        <v>62152</v>
      </c>
      <c r="D90" s="23" t="s">
        <v>245</v>
      </c>
      <c r="E90" s="25">
        <v>1.06573E-5</v>
      </c>
      <c r="F90" s="25"/>
      <c r="G90" s="25" t="s">
        <v>15</v>
      </c>
      <c r="H90" s="7" t="s">
        <v>123</v>
      </c>
      <c r="I90" s="21"/>
      <c r="J90" s="14"/>
      <c r="K90" s="17">
        <v>4.8</v>
      </c>
      <c r="L90" s="17"/>
      <c r="M90" s="12">
        <f t="shared" si="60"/>
        <v>17280</v>
      </c>
      <c r="N90" s="12">
        <f t="shared" si="62"/>
        <v>4.0112684060182019E-5</v>
      </c>
      <c r="O90" s="30">
        <f t="shared" si="51"/>
        <v>1.0000000000000001E-24</v>
      </c>
      <c r="P90" s="30">
        <f t="shared" si="52"/>
        <v>13978830.671413144</v>
      </c>
      <c r="Q90" s="10">
        <f t="shared" si="53"/>
        <v>1.06573E+19</v>
      </c>
      <c r="R90" s="10">
        <f t="shared" si="54"/>
        <v>1.4897659211445131E+26</v>
      </c>
      <c r="S90" s="58">
        <f t="shared" si="55"/>
        <v>5.9758509718495895E+21</v>
      </c>
      <c r="T90" s="110"/>
      <c r="U90" s="47" t="str">
        <f t="shared" si="63"/>
        <v>Isot tierras raras</v>
      </c>
      <c r="V90" s="47"/>
      <c r="W90" s="47"/>
      <c r="X90" s="56"/>
      <c r="Y90" s="53"/>
      <c r="Z90" s="11"/>
      <c r="AA90" s="11"/>
      <c r="AB90" s="11"/>
      <c r="AC90" s="11"/>
      <c r="AD90" s="11"/>
      <c r="AE90" s="11"/>
      <c r="AF90" s="11"/>
      <c r="AG90" s="44"/>
      <c r="AH90" s="83"/>
      <c r="AI90" s="83"/>
      <c r="AJ90" s="48" t="e">
        <f t="shared" si="64"/>
        <v>#DIV/0!</v>
      </c>
      <c r="AK90" s="48" t="e">
        <f t="shared" si="65"/>
        <v>#DIV/0!</v>
      </c>
      <c r="AL90" s="48"/>
      <c r="AM90" s="48" t="str">
        <f t="shared" si="66"/>
        <v>Gd-152</v>
      </c>
    </row>
    <row r="91" spans="2:39" ht="15.75" customHeight="1" x14ac:dyDescent="0.25">
      <c r="B91" s="6" t="s">
        <v>124</v>
      </c>
      <c r="C91" s="23">
        <v>63153</v>
      </c>
      <c r="D91" s="23" t="s">
        <v>245</v>
      </c>
      <c r="E91" s="25">
        <v>1.08169E-5</v>
      </c>
      <c r="F91" s="25"/>
      <c r="G91" s="25" t="s">
        <v>183</v>
      </c>
      <c r="H91" s="7" t="s">
        <v>125</v>
      </c>
      <c r="I91" s="21"/>
      <c r="J91" s="14"/>
      <c r="K91" s="17"/>
      <c r="L91" s="17">
        <v>2.1</v>
      </c>
      <c r="M91" s="12">
        <f t="shared" si="60"/>
        <v>126</v>
      </c>
      <c r="N91" s="12">
        <f t="shared" si="62"/>
        <v>5.5011680996821053E-3</v>
      </c>
      <c r="O91" s="30">
        <f t="shared" si="51"/>
        <v>1.0000000000000001E-24</v>
      </c>
      <c r="P91" s="30">
        <f t="shared" si="52"/>
        <v>13978830.671413144</v>
      </c>
      <c r="Q91" s="10">
        <f t="shared" si="53"/>
        <v>1.0816899999999998E+19</v>
      </c>
      <c r="R91" s="10">
        <f t="shared" si="54"/>
        <v>1.5120761348960881E+26</v>
      </c>
      <c r="S91" s="58">
        <f t="shared" si="55"/>
        <v>8.318184997580976E+23</v>
      </c>
      <c r="T91" s="110"/>
      <c r="U91" s="47" t="str">
        <f t="shared" si="63"/>
        <v>Isot tierras raras</v>
      </c>
      <c r="V91" s="47"/>
      <c r="W91" s="47"/>
      <c r="X91" s="56"/>
      <c r="Y91" s="53"/>
      <c r="Z91" s="11"/>
      <c r="AA91" s="11"/>
      <c r="AB91" s="11"/>
      <c r="AC91" s="11"/>
      <c r="AD91" s="11"/>
      <c r="AE91" s="11"/>
      <c r="AF91" s="11"/>
      <c r="AG91" s="44"/>
      <c r="AH91" s="83"/>
      <c r="AI91" s="83"/>
      <c r="AJ91" s="48" t="e">
        <f t="shared" si="64"/>
        <v>#DIV/0!</v>
      </c>
      <c r="AK91" s="48" t="e">
        <f t="shared" si="65"/>
        <v>#DIV/0!</v>
      </c>
      <c r="AL91" s="48"/>
      <c r="AM91" s="48" t="str">
        <f t="shared" si="66"/>
        <v>Dy-153</v>
      </c>
    </row>
    <row r="92" spans="2:39" ht="15.75" customHeight="1" x14ac:dyDescent="0.25">
      <c r="B92" s="6" t="s">
        <v>126</v>
      </c>
      <c r="C92" s="23">
        <v>63154</v>
      </c>
      <c r="D92" s="23" t="s">
        <v>245</v>
      </c>
      <c r="E92" s="25">
        <v>1.9352499999999998E-6</v>
      </c>
      <c r="F92" s="25"/>
      <c r="G92" s="25" t="s">
        <v>184</v>
      </c>
      <c r="H92" s="7" t="s">
        <v>127</v>
      </c>
      <c r="I92" s="21"/>
      <c r="J92" s="14"/>
      <c r="K92" s="17"/>
      <c r="L92" s="17">
        <v>1.8</v>
      </c>
      <c r="M92" s="12">
        <f t="shared" si="60"/>
        <v>108</v>
      </c>
      <c r="N92" s="12">
        <f t="shared" si="62"/>
        <v>6.4180294496291234E-3</v>
      </c>
      <c r="O92" s="30">
        <f t="shared" si="51"/>
        <v>1.0000000000000001E-24</v>
      </c>
      <c r="P92" s="30">
        <f t="shared" si="52"/>
        <v>13978830.671413144</v>
      </c>
      <c r="Q92" s="10">
        <f t="shared" si="53"/>
        <v>1.9352499999999995E+18</v>
      </c>
      <c r="R92" s="10">
        <f t="shared" si="54"/>
        <v>2.705253205685228E+25</v>
      </c>
      <c r="S92" s="58">
        <f t="shared" si="55"/>
        <v>1.7362394742791385E+23</v>
      </c>
      <c r="T92" s="110"/>
      <c r="U92" s="47" t="str">
        <f t="shared" si="63"/>
        <v>Isot tierras raras</v>
      </c>
      <c r="V92" s="47"/>
      <c r="W92" s="47"/>
      <c r="X92" s="56"/>
      <c r="Y92" s="53"/>
      <c r="Z92" s="11"/>
      <c r="AA92" s="11"/>
      <c r="AB92" s="11"/>
      <c r="AC92" s="11"/>
      <c r="AD92" s="11"/>
      <c r="AE92" s="11"/>
      <c r="AF92" s="11"/>
      <c r="AG92" s="44"/>
      <c r="AH92" s="83"/>
      <c r="AI92" s="83"/>
      <c r="AJ92" s="48" t="e">
        <f t="shared" si="64"/>
        <v>#DIV/0!</v>
      </c>
      <c r="AK92" s="48" t="e">
        <f t="shared" si="65"/>
        <v>#DIV/0!</v>
      </c>
      <c r="AL92" s="48"/>
      <c r="AM92" s="48" t="str">
        <f t="shared" si="66"/>
        <v>Dy-154</v>
      </c>
    </row>
    <row r="93" spans="2:39" ht="15.75" customHeight="1" x14ac:dyDescent="0.25">
      <c r="B93" s="6" t="s">
        <v>128</v>
      </c>
      <c r="C93" s="23">
        <v>63155</v>
      </c>
      <c r="D93" s="23" t="s">
        <v>245</v>
      </c>
      <c r="E93" s="25">
        <v>5.7612E-7</v>
      </c>
      <c r="F93" s="25"/>
      <c r="G93" s="25" t="s">
        <v>185</v>
      </c>
      <c r="H93" s="7" t="s">
        <v>101</v>
      </c>
      <c r="I93" s="21"/>
      <c r="J93" s="14"/>
      <c r="K93" s="17"/>
      <c r="L93" s="17">
        <v>2.2999999999999998</v>
      </c>
      <c r="M93" s="12">
        <f t="shared" si="60"/>
        <v>138</v>
      </c>
      <c r="N93" s="12">
        <f t="shared" si="62"/>
        <v>5.0228056562314875E-3</v>
      </c>
      <c r="O93" s="30">
        <f t="shared" si="51"/>
        <v>1.0000000000000001E-24</v>
      </c>
      <c r="P93" s="30">
        <f t="shared" si="52"/>
        <v>13978830.671413144</v>
      </c>
      <c r="Q93" s="10">
        <f t="shared" si="53"/>
        <v>5.7611999999999994E+17</v>
      </c>
      <c r="R93" s="10">
        <f t="shared" si="54"/>
        <v>8.0534839264145397E+24</v>
      </c>
      <c r="S93" s="58">
        <f t="shared" si="55"/>
        <v>4.0451084617964319E+22</v>
      </c>
      <c r="T93" s="110"/>
      <c r="U93" s="47" t="str">
        <f t="shared" si="63"/>
        <v>Isot tierras raras</v>
      </c>
      <c r="V93" s="47"/>
      <c r="W93" s="47"/>
      <c r="X93" s="56"/>
      <c r="Y93" s="53"/>
      <c r="Z93" s="11"/>
      <c r="AA93" s="11"/>
      <c r="AB93" s="11"/>
      <c r="AC93" s="11"/>
      <c r="AD93" s="11"/>
      <c r="AE93" s="11"/>
      <c r="AF93" s="11"/>
      <c r="AG93" s="44"/>
      <c r="AH93" s="83"/>
      <c r="AI93" s="83"/>
      <c r="AJ93" s="48" t="e">
        <f t="shared" si="64"/>
        <v>#DIV/0!</v>
      </c>
      <c r="AK93" s="48" t="e">
        <f t="shared" si="65"/>
        <v>#DIV/0!</v>
      </c>
      <c r="AL93" s="48"/>
      <c r="AM93" s="48" t="str">
        <f t="shared" si="66"/>
        <v>Dy-155</v>
      </c>
    </row>
    <row r="94" spans="2:39" ht="15.75" customHeight="1" x14ac:dyDescent="0.25"/>
    <row r="95" spans="2:39" ht="15.75" customHeight="1" x14ac:dyDescent="0.25"/>
    <row r="96" spans="2:39" ht="15.75" customHeight="1" x14ac:dyDescent="0.25"/>
    <row r="97" spans="7:17" ht="15.75" customHeight="1" x14ac:dyDescent="0.25">
      <c r="G97" t="s">
        <v>234</v>
      </c>
      <c r="J97" s="65" t="s">
        <v>11</v>
      </c>
      <c r="K97" s="66"/>
    </row>
    <row r="98" spans="7:17" ht="15.75" customHeight="1" x14ac:dyDescent="0.25">
      <c r="G98" t="s">
        <v>235</v>
      </c>
      <c r="J98" s="65" t="s">
        <v>12</v>
      </c>
      <c r="K98" s="65">
        <v>120</v>
      </c>
    </row>
    <row r="99" spans="7:17" ht="15.75" customHeight="1" x14ac:dyDescent="0.25">
      <c r="G99" t="s">
        <v>236</v>
      </c>
      <c r="J99" s="65" t="s">
        <v>13</v>
      </c>
      <c r="K99" s="65">
        <v>309</v>
      </c>
    </row>
    <row r="100" spans="7:17" ht="15.75" customHeight="1" x14ac:dyDescent="0.25">
      <c r="G100" t="s">
        <v>237</v>
      </c>
    </row>
    <row r="101" spans="7:17" ht="15.75" customHeight="1" x14ac:dyDescent="0.25">
      <c r="G101" t="s">
        <v>238</v>
      </c>
    </row>
    <row r="102" spans="7:17" ht="15.75" customHeight="1" x14ac:dyDescent="0.25">
      <c r="G102" t="s">
        <v>239</v>
      </c>
    </row>
    <row r="103" spans="7:17" ht="15.75" customHeight="1" x14ac:dyDescent="0.25">
      <c r="G103" t="s">
        <v>240</v>
      </c>
    </row>
    <row r="104" spans="7:17" ht="15.75" customHeight="1" x14ac:dyDescent="0.25">
      <c r="G104" t="s">
        <v>241</v>
      </c>
    </row>
    <row r="105" spans="7:17" ht="15.75" customHeight="1" x14ac:dyDescent="0.25">
      <c r="G105" t="s">
        <v>242</v>
      </c>
    </row>
    <row r="106" spans="7:17" ht="15.75" customHeight="1" x14ac:dyDescent="0.25">
      <c r="G106" t="s">
        <v>243</v>
      </c>
    </row>
    <row r="107" spans="7:17" ht="15.75" customHeight="1" x14ac:dyDescent="0.25">
      <c r="N107" s="26"/>
      <c r="O107" s="26"/>
      <c r="P107" s="26"/>
      <c r="Q107" s="27"/>
    </row>
    <row r="108" spans="7:17" ht="15.75" customHeight="1" x14ac:dyDescent="0.25">
      <c r="N108" s="2"/>
      <c r="O108" s="28"/>
      <c r="P108" s="28"/>
      <c r="Q108" s="3"/>
    </row>
    <row r="109" spans="7:17" ht="15.75" customHeight="1" x14ac:dyDescent="0.25">
      <c r="N109" s="2"/>
      <c r="O109" s="28"/>
      <c r="P109" s="28"/>
      <c r="Q109" s="3"/>
    </row>
    <row r="110" spans="7:17" ht="15.75" customHeight="1" x14ac:dyDescent="0.25">
      <c r="N110" s="2"/>
      <c r="O110" s="28"/>
      <c r="P110" s="28"/>
      <c r="Q110" s="3"/>
    </row>
    <row r="111" spans="7:17" ht="15.75" customHeight="1" x14ac:dyDescent="0.25">
      <c r="N111" s="2"/>
      <c r="O111" s="28"/>
      <c r="P111" s="28"/>
      <c r="Q111" s="3"/>
    </row>
    <row r="112" spans="7:17" ht="15.75" customHeight="1" x14ac:dyDescent="0.25">
      <c r="N112" s="2"/>
      <c r="O112" s="28"/>
      <c r="P112" s="28"/>
      <c r="Q112" s="3"/>
    </row>
    <row r="113" spans="14:17" ht="15.75" customHeight="1" x14ac:dyDescent="0.25">
      <c r="N113" s="2"/>
      <c r="O113" s="28"/>
      <c r="P113" s="28"/>
      <c r="Q113" s="3"/>
    </row>
    <row r="114" spans="14:17" ht="15.75" customHeight="1" x14ac:dyDescent="0.25">
      <c r="N114" s="2"/>
      <c r="O114" s="28"/>
      <c r="P114" s="28"/>
      <c r="Q114" s="3"/>
    </row>
    <row r="115" spans="14:17" ht="15.75" customHeight="1" x14ac:dyDescent="0.25">
      <c r="N115" s="2"/>
      <c r="O115" s="28"/>
      <c r="P115" s="28"/>
      <c r="Q115" s="3"/>
    </row>
    <row r="116" spans="14:17" ht="15.75" customHeight="1" x14ac:dyDescent="0.25">
      <c r="N116" s="2"/>
      <c r="O116" s="28"/>
      <c r="P116" s="28"/>
      <c r="Q116" s="3"/>
    </row>
    <row r="117" spans="14:17" ht="15.75" customHeight="1" x14ac:dyDescent="0.25">
      <c r="N117" s="2"/>
      <c r="O117" s="28"/>
      <c r="P117" s="28"/>
      <c r="Q117" s="3"/>
    </row>
    <row r="118" spans="14:17" ht="15.75" customHeight="1" x14ac:dyDescent="0.25">
      <c r="N118" s="2"/>
      <c r="O118" s="28"/>
      <c r="P118" s="28"/>
      <c r="Q118" s="3"/>
    </row>
    <row r="119" spans="14:17" ht="15.75" customHeight="1" x14ac:dyDescent="0.25">
      <c r="N119" s="2"/>
      <c r="O119" s="28"/>
      <c r="P119" s="28"/>
      <c r="Q119" s="2"/>
    </row>
    <row r="120" spans="14:17" ht="15.75" customHeight="1" x14ac:dyDescent="0.25">
      <c r="N120" s="2"/>
      <c r="O120" s="28"/>
      <c r="P120" s="28"/>
      <c r="Q120" s="3"/>
    </row>
    <row r="121" spans="14:17" ht="15.75" customHeight="1" x14ac:dyDescent="0.25">
      <c r="N121" s="2"/>
      <c r="O121" s="28"/>
      <c r="P121" s="28"/>
      <c r="Q121" s="3"/>
    </row>
    <row r="122" spans="14:17" ht="15.75" customHeight="1" x14ac:dyDescent="0.25">
      <c r="N122" s="2"/>
      <c r="O122" s="28"/>
      <c r="P122" s="28"/>
      <c r="Q122" s="3"/>
    </row>
    <row r="123" spans="14:17" ht="15.75" customHeight="1" x14ac:dyDescent="0.25">
      <c r="N123" s="2"/>
      <c r="O123" s="28"/>
      <c r="P123" s="28"/>
      <c r="Q123" s="3"/>
    </row>
    <row r="124" spans="14:17" ht="15.75" customHeight="1" x14ac:dyDescent="0.25">
      <c r="N124" s="2"/>
      <c r="O124" s="28"/>
      <c r="P124" s="28"/>
      <c r="Q124" s="3"/>
    </row>
    <row r="125" spans="14:17" ht="15.75" customHeight="1" x14ac:dyDescent="0.25">
      <c r="N125" s="2"/>
      <c r="O125" s="28"/>
      <c r="P125" s="28"/>
      <c r="Q125" s="3"/>
    </row>
    <row r="126" spans="14:17" ht="15.75" customHeight="1" x14ac:dyDescent="0.25">
      <c r="N126" s="2"/>
      <c r="O126" s="28"/>
      <c r="P126" s="28"/>
      <c r="Q126" s="3"/>
    </row>
    <row r="127" spans="14:17" ht="15.75" customHeight="1" x14ac:dyDescent="0.25">
      <c r="N127" s="2"/>
      <c r="O127" s="28"/>
      <c r="P127" s="28"/>
      <c r="Q127" s="3"/>
    </row>
    <row r="128" spans="14:17" ht="15.75" customHeight="1" x14ac:dyDescent="0.25">
      <c r="N128" s="2"/>
      <c r="O128" s="28"/>
      <c r="P128" s="28"/>
      <c r="Q128" s="3"/>
    </row>
    <row r="129" spans="14:17" ht="15.75" customHeight="1" x14ac:dyDescent="0.25">
      <c r="N129" s="2"/>
      <c r="O129" s="28"/>
      <c r="P129" s="28"/>
      <c r="Q129" s="3"/>
    </row>
    <row r="130" spans="14:17" ht="15.75" customHeight="1" x14ac:dyDescent="0.25">
      <c r="N130" s="2"/>
      <c r="O130" s="28"/>
      <c r="P130" s="28"/>
      <c r="Q130" s="3"/>
    </row>
    <row r="131" spans="14:17" ht="15.75" customHeight="1" x14ac:dyDescent="0.25">
      <c r="N131" s="2"/>
      <c r="O131" s="28"/>
      <c r="P131" s="28"/>
      <c r="Q131" s="2"/>
    </row>
    <row r="132" spans="14:17" ht="15.75" customHeight="1" x14ac:dyDescent="0.25">
      <c r="N132" s="2"/>
      <c r="O132" s="28"/>
      <c r="P132" s="28"/>
      <c r="Q132" s="3"/>
    </row>
    <row r="133" spans="14:17" ht="15.75" customHeight="1" x14ac:dyDescent="0.25">
      <c r="N133" s="2"/>
      <c r="O133" s="28"/>
      <c r="P133" s="28"/>
      <c r="Q133" s="3"/>
    </row>
    <row r="134" spans="14:17" ht="15.75" customHeight="1" x14ac:dyDescent="0.25">
      <c r="N134" s="2"/>
      <c r="O134" s="28"/>
      <c r="P134" s="28"/>
      <c r="Q134" s="3"/>
    </row>
    <row r="135" spans="14:17" ht="15.75" customHeight="1" x14ac:dyDescent="0.25">
      <c r="N135" s="2"/>
      <c r="O135" s="28"/>
      <c r="P135" s="28"/>
      <c r="Q135" s="3"/>
    </row>
    <row r="136" spans="14:17" ht="15.75" customHeight="1" x14ac:dyDescent="0.25">
      <c r="N136" s="2"/>
      <c r="O136" s="28"/>
      <c r="P136" s="28"/>
      <c r="Q136" s="2"/>
    </row>
    <row r="137" spans="14:17" ht="15.75" customHeight="1" x14ac:dyDescent="0.25">
      <c r="N137" s="2"/>
      <c r="O137" s="28"/>
      <c r="P137" s="28"/>
      <c r="Q137" s="3"/>
    </row>
    <row r="138" spans="14:17" ht="15.75" customHeight="1" x14ac:dyDescent="0.25">
      <c r="N138" s="2"/>
      <c r="O138" s="28"/>
      <c r="P138" s="28"/>
      <c r="Q138" s="3"/>
    </row>
    <row r="139" spans="14:17" ht="15.75" customHeight="1" x14ac:dyDescent="0.25">
      <c r="N139" s="2"/>
      <c r="O139" s="28"/>
      <c r="P139" s="28"/>
      <c r="Q139" s="3"/>
    </row>
    <row r="140" spans="14:17" ht="15.75" customHeight="1" x14ac:dyDescent="0.25">
      <c r="N140" s="2"/>
      <c r="O140" s="28"/>
      <c r="P140" s="28"/>
      <c r="Q140" s="3"/>
    </row>
    <row r="141" spans="14:17" ht="15.75" customHeight="1" x14ac:dyDescent="0.25">
      <c r="N141" s="2"/>
      <c r="O141" s="28"/>
      <c r="P141" s="28"/>
      <c r="Q141" s="3"/>
    </row>
    <row r="142" spans="14:17" ht="15.75" customHeight="1" x14ac:dyDescent="0.25">
      <c r="N142" s="2"/>
      <c r="O142" s="28"/>
      <c r="P142" s="28"/>
      <c r="Q142" s="3"/>
    </row>
    <row r="143" spans="14:17" ht="15.75" customHeight="1" x14ac:dyDescent="0.25">
      <c r="N143" s="2"/>
      <c r="O143" s="28"/>
      <c r="P143" s="28"/>
      <c r="Q143" s="3"/>
    </row>
    <row r="144" spans="14:17" ht="15.75" customHeight="1" x14ac:dyDescent="0.25">
      <c r="N144" s="2"/>
      <c r="O144" s="28"/>
      <c r="P144" s="28"/>
      <c r="Q144" s="3"/>
    </row>
    <row r="145" spans="14:17" ht="15.75" customHeight="1" x14ac:dyDescent="0.25">
      <c r="N145" s="29"/>
      <c r="O145" s="29"/>
      <c r="P145" s="29"/>
      <c r="Q145" s="29"/>
    </row>
    <row r="146" spans="14:17" ht="15.75" customHeight="1" x14ac:dyDescent="0.25">
      <c r="N146" s="29"/>
      <c r="O146" s="29"/>
      <c r="P146" s="29"/>
      <c r="Q146" s="29"/>
    </row>
    <row r="147" spans="14:17" ht="15.75" customHeight="1" x14ac:dyDescent="0.25">
      <c r="N147" s="29"/>
      <c r="O147" s="29"/>
      <c r="P147" s="29"/>
      <c r="Q147" s="29"/>
    </row>
    <row r="148" spans="14:17" ht="15.75" customHeight="1" x14ac:dyDescent="0.25">
      <c r="N148" s="29"/>
      <c r="O148" s="29"/>
      <c r="P148" s="29"/>
      <c r="Q148" s="29"/>
    </row>
    <row r="149" spans="14:17" ht="15.75" customHeight="1" x14ac:dyDescent="0.25">
      <c r="N149" s="29"/>
      <c r="O149" s="29"/>
      <c r="P149" s="29"/>
      <c r="Q149" s="29"/>
    </row>
    <row r="150" spans="14:17" ht="15.75" customHeight="1" x14ac:dyDescent="0.25">
      <c r="N150" s="29"/>
      <c r="O150" s="29"/>
      <c r="P150" s="29"/>
      <c r="Q150" s="29"/>
    </row>
    <row r="151" spans="14:17" ht="15.75" customHeight="1" x14ac:dyDescent="0.25">
      <c r="N151" s="29"/>
      <c r="O151" s="29"/>
      <c r="P151" s="29"/>
      <c r="Q151" s="29"/>
    </row>
    <row r="152" spans="14:17" ht="15.75" customHeight="1" x14ac:dyDescent="0.25">
      <c r="N152" s="29"/>
      <c r="O152" s="29"/>
      <c r="P152" s="29"/>
      <c r="Q152" s="29"/>
    </row>
    <row r="153" spans="14:17" ht="15.75" customHeight="1" x14ac:dyDescent="0.25">
      <c r="N153" s="29"/>
      <c r="O153" s="29"/>
      <c r="P153" s="29"/>
      <c r="Q153" s="29"/>
    </row>
    <row r="154" spans="14:17" ht="15.75" customHeight="1" x14ac:dyDescent="0.25">
      <c r="N154" s="29"/>
      <c r="O154" s="29"/>
      <c r="P154" s="29"/>
      <c r="Q154" s="29"/>
    </row>
    <row r="155" spans="14:17" ht="15.75" customHeight="1" x14ac:dyDescent="0.25">
      <c r="N155" s="29"/>
      <c r="O155" s="29"/>
      <c r="P155" s="29"/>
      <c r="Q155" s="29"/>
    </row>
    <row r="156" spans="14:17" ht="15.75" customHeight="1" x14ac:dyDescent="0.25">
      <c r="N156" s="29"/>
      <c r="O156" s="29"/>
      <c r="P156" s="29"/>
      <c r="Q156" s="29"/>
    </row>
    <row r="157" spans="14:17" ht="15.75" customHeight="1" x14ac:dyDescent="0.25">
      <c r="N157" s="29"/>
      <c r="O157" s="29"/>
      <c r="P157" s="29"/>
      <c r="Q157" s="29"/>
    </row>
    <row r="158" spans="14:17" ht="15.75" customHeight="1" x14ac:dyDescent="0.25">
      <c r="N158" s="29"/>
      <c r="O158" s="29"/>
      <c r="P158" s="29"/>
      <c r="Q158" s="29"/>
    </row>
    <row r="159" spans="14:17" ht="15.75" customHeight="1" x14ac:dyDescent="0.25">
      <c r="N159" s="29"/>
      <c r="O159" s="29"/>
      <c r="P159" s="29"/>
      <c r="Q159" s="29"/>
    </row>
    <row r="160" spans="14:17" ht="15.75" customHeight="1" x14ac:dyDescent="0.25">
      <c r="N160" s="29"/>
      <c r="O160" s="29"/>
      <c r="P160" s="29"/>
      <c r="Q160" s="29"/>
    </row>
    <row r="161" spans="14:17" ht="15.75" customHeight="1" x14ac:dyDescent="0.25">
      <c r="N161" s="29"/>
      <c r="O161" s="29"/>
      <c r="P161" s="29"/>
      <c r="Q161" s="29"/>
    </row>
    <row r="162" spans="14:17" ht="15.75" customHeight="1" x14ac:dyDescent="0.25">
      <c r="N162" s="29"/>
      <c r="O162" s="29"/>
      <c r="P162" s="29"/>
      <c r="Q162" s="29"/>
    </row>
    <row r="163" spans="14:17" ht="15.75" customHeight="1" x14ac:dyDescent="0.25">
      <c r="N163" s="29"/>
      <c r="O163" s="29"/>
      <c r="P163" s="29"/>
      <c r="Q163" s="29"/>
    </row>
    <row r="164" spans="14:17" ht="15.75" customHeight="1" x14ac:dyDescent="0.25">
      <c r="N164" s="29"/>
      <c r="O164" s="29"/>
      <c r="P164" s="29"/>
      <c r="Q164" s="29"/>
    </row>
    <row r="165" spans="14:17" ht="15.75" customHeight="1" x14ac:dyDescent="0.25">
      <c r="N165" s="29"/>
      <c r="O165" s="29"/>
      <c r="P165" s="29"/>
      <c r="Q165" s="29"/>
    </row>
    <row r="166" spans="14:17" ht="15.75" customHeight="1" x14ac:dyDescent="0.25">
      <c r="N166" s="29"/>
      <c r="O166" s="29"/>
      <c r="P166" s="29"/>
      <c r="Q166" s="29"/>
    </row>
    <row r="167" spans="14:17" ht="15.75" customHeight="1" x14ac:dyDescent="0.25">
      <c r="N167" s="29"/>
      <c r="O167" s="29"/>
      <c r="P167" s="29"/>
      <c r="Q167" s="29"/>
    </row>
    <row r="168" spans="14:17" ht="15.75" customHeight="1" x14ac:dyDescent="0.25">
      <c r="N168" s="29"/>
      <c r="O168" s="29"/>
      <c r="P168" s="29"/>
      <c r="Q168" s="29"/>
    </row>
    <row r="169" spans="14:17" ht="15.75" customHeight="1" x14ac:dyDescent="0.25">
      <c r="N169" s="29"/>
      <c r="O169" s="29"/>
      <c r="P169" s="29"/>
      <c r="Q169" s="29"/>
    </row>
    <row r="170" spans="14:17" ht="15.75" customHeight="1" x14ac:dyDescent="0.25">
      <c r="N170" s="29"/>
      <c r="O170" s="29"/>
      <c r="P170" s="29"/>
      <c r="Q170" s="29"/>
    </row>
    <row r="171" spans="14:17" ht="15.75" customHeight="1" x14ac:dyDescent="0.25">
      <c r="N171" s="29"/>
      <c r="O171" s="29"/>
      <c r="P171" s="29"/>
      <c r="Q171" s="29"/>
    </row>
    <row r="172" spans="14:17" ht="15.75" customHeight="1" x14ac:dyDescent="0.25">
      <c r="N172" s="29"/>
      <c r="O172" s="29"/>
      <c r="P172" s="29"/>
      <c r="Q172" s="29"/>
    </row>
    <row r="173" spans="14:17" ht="15.75" customHeight="1" x14ac:dyDescent="0.25">
      <c r="N173" s="29"/>
      <c r="O173" s="29"/>
      <c r="P173" s="29"/>
      <c r="Q173" s="29"/>
    </row>
    <row r="174" spans="14:17" ht="15.75" customHeight="1" x14ac:dyDescent="0.25">
      <c r="N174" s="29"/>
      <c r="O174" s="29"/>
      <c r="P174" s="29"/>
      <c r="Q174" s="29"/>
    </row>
    <row r="175" spans="14:17" ht="15.75" customHeight="1" x14ac:dyDescent="0.25">
      <c r="N175" s="29"/>
      <c r="O175" s="29"/>
      <c r="P175" s="29"/>
      <c r="Q175" s="29"/>
    </row>
    <row r="176" spans="14:17" ht="15.75" customHeight="1" x14ac:dyDescent="0.25">
      <c r="N176" s="29"/>
      <c r="O176" s="29"/>
      <c r="P176" s="29"/>
      <c r="Q176" s="29"/>
    </row>
    <row r="177" spans="14:17" ht="15.75" customHeight="1" x14ac:dyDescent="0.25">
      <c r="N177" s="29"/>
      <c r="O177" s="29"/>
      <c r="P177" s="29"/>
      <c r="Q177" s="29"/>
    </row>
    <row r="178" spans="14:17" ht="15.75" customHeight="1" x14ac:dyDescent="0.25">
      <c r="N178" s="29"/>
      <c r="O178" s="29"/>
      <c r="P178" s="29"/>
      <c r="Q178" s="29"/>
    </row>
    <row r="179" spans="14:17" ht="15.75" customHeight="1" x14ac:dyDescent="0.25">
      <c r="N179" s="29"/>
      <c r="O179" s="29"/>
      <c r="P179" s="29"/>
      <c r="Q179" s="29"/>
    </row>
    <row r="180" spans="14:17" ht="15.75" customHeight="1" x14ac:dyDescent="0.25">
      <c r="N180" s="29"/>
      <c r="O180" s="29"/>
      <c r="P180" s="29"/>
      <c r="Q180" s="29"/>
    </row>
    <row r="181" spans="14:17" ht="15.75" customHeight="1" x14ac:dyDescent="0.25">
      <c r="N181" s="29"/>
      <c r="O181" s="29"/>
      <c r="P181" s="29"/>
      <c r="Q181" s="29"/>
    </row>
    <row r="182" spans="14:17" ht="15.75" customHeight="1" x14ac:dyDescent="0.25">
      <c r="N182" s="29"/>
      <c r="O182" s="29"/>
      <c r="P182" s="29"/>
      <c r="Q182" s="29"/>
    </row>
    <row r="183" spans="14:17" ht="15.75" customHeight="1" x14ac:dyDescent="0.25">
      <c r="N183" s="29"/>
      <c r="O183" s="29"/>
      <c r="P183" s="29"/>
      <c r="Q183" s="29"/>
    </row>
    <row r="184" spans="14:17" ht="15.75" customHeight="1" x14ac:dyDescent="0.25">
      <c r="N184" s="29"/>
      <c r="O184" s="29"/>
      <c r="P184" s="29"/>
      <c r="Q184" s="29"/>
    </row>
    <row r="185" spans="14:17" ht="15.75" customHeight="1" x14ac:dyDescent="0.25">
      <c r="N185" s="29"/>
      <c r="O185" s="29"/>
      <c r="P185" s="29"/>
      <c r="Q185" s="29"/>
    </row>
    <row r="186" spans="14:17" ht="15.75" customHeight="1" x14ac:dyDescent="0.25">
      <c r="N186" s="29"/>
      <c r="O186" s="29"/>
      <c r="P186" s="29"/>
      <c r="Q186" s="29"/>
    </row>
    <row r="187" spans="14:17" ht="15.75" customHeight="1" x14ac:dyDescent="0.25">
      <c r="N187" s="29"/>
      <c r="O187" s="29"/>
      <c r="P187" s="29"/>
      <c r="Q187" s="29"/>
    </row>
    <row r="188" spans="14:17" ht="15.75" customHeight="1" x14ac:dyDescent="0.25">
      <c r="N188" s="29"/>
      <c r="O188" s="29"/>
      <c r="P188" s="29"/>
      <c r="Q188" s="29"/>
    </row>
    <row r="189" spans="14:17" ht="15.75" customHeight="1" x14ac:dyDescent="0.25">
      <c r="N189" s="29"/>
      <c r="O189" s="29"/>
      <c r="P189" s="29"/>
      <c r="Q189" s="29"/>
    </row>
    <row r="190" spans="14:17" ht="15.75" customHeight="1" x14ac:dyDescent="0.25">
      <c r="N190" s="29"/>
      <c r="O190" s="29"/>
      <c r="P190" s="29"/>
      <c r="Q190" s="29"/>
    </row>
    <row r="191" spans="14:17" ht="15.75" customHeight="1" x14ac:dyDescent="0.25">
      <c r="N191" s="29"/>
      <c r="O191" s="29"/>
      <c r="P191" s="29"/>
      <c r="Q191" s="29"/>
    </row>
    <row r="192" spans="14:17" ht="15.75" customHeight="1" x14ac:dyDescent="0.25">
      <c r="N192" s="29"/>
      <c r="O192" s="29"/>
      <c r="P192" s="29"/>
      <c r="Q192" s="29"/>
    </row>
    <row r="193" spans="14:17" ht="15.75" customHeight="1" x14ac:dyDescent="0.25">
      <c r="N193" s="29"/>
      <c r="O193" s="29"/>
      <c r="P193" s="29"/>
      <c r="Q193" s="29"/>
    </row>
    <row r="194" spans="14:17" ht="15.75" customHeight="1" x14ac:dyDescent="0.25">
      <c r="N194" s="29"/>
      <c r="O194" s="29"/>
      <c r="P194" s="29"/>
      <c r="Q194" s="29"/>
    </row>
    <row r="195" spans="14:17" ht="15.75" customHeight="1" x14ac:dyDescent="0.25">
      <c r="N195" s="29"/>
      <c r="O195" s="29"/>
      <c r="P195" s="29"/>
      <c r="Q195" s="29"/>
    </row>
    <row r="196" spans="14:17" ht="15.75" customHeight="1" x14ac:dyDescent="0.25">
      <c r="N196" s="29"/>
      <c r="O196" s="29"/>
      <c r="P196" s="29"/>
      <c r="Q196" s="29"/>
    </row>
    <row r="197" spans="14:17" ht="15.75" customHeight="1" x14ac:dyDescent="0.25">
      <c r="N197" s="29"/>
      <c r="O197" s="29"/>
      <c r="P197" s="29"/>
      <c r="Q197" s="29"/>
    </row>
    <row r="198" spans="14:17" ht="15.75" customHeight="1" x14ac:dyDescent="0.25">
      <c r="N198" s="29"/>
      <c r="O198" s="29"/>
      <c r="P198" s="29"/>
      <c r="Q198" s="29"/>
    </row>
    <row r="199" spans="14:17" ht="15.75" customHeight="1" x14ac:dyDescent="0.25">
      <c r="N199" s="29"/>
      <c r="O199" s="29"/>
      <c r="P199" s="29"/>
      <c r="Q199" s="29"/>
    </row>
    <row r="200" spans="14:17" ht="15.75" customHeight="1" x14ac:dyDescent="0.25">
      <c r="N200" s="29"/>
      <c r="O200" s="29"/>
      <c r="P200" s="29"/>
      <c r="Q200" s="29"/>
    </row>
    <row r="201" spans="14:17" ht="15.75" customHeight="1" x14ac:dyDescent="0.25">
      <c r="N201" s="29"/>
      <c r="O201" s="29"/>
      <c r="P201" s="29"/>
      <c r="Q201" s="29"/>
    </row>
    <row r="202" spans="14:17" ht="15.75" customHeight="1" x14ac:dyDescent="0.25">
      <c r="N202" s="29"/>
      <c r="O202" s="29"/>
      <c r="P202" s="29"/>
      <c r="Q202" s="29"/>
    </row>
    <row r="203" spans="14:17" ht="15.75" customHeight="1" x14ac:dyDescent="0.25">
      <c r="N203" s="29"/>
      <c r="O203" s="29"/>
      <c r="P203" s="29"/>
      <c r="Q203" s="29"/>
    </row>
    <row r="204" spans="14:17" ht="15.75" customHeight="1" x14ac:dyDescent="0.25">
      <c r="N204" s="29"/>
      <c r="O204" s="29"/>
      <c r="P204" s="29"/>
      <c r="Q204" s="29"/>
    </row>
    <row r="205" spans="14:17" ht="15.75" customHeight="1" x14ac:dyDescent="0.25">
      <c r="N205" s="29"/>
      <c r="O205" s="29"/>
      <c r="P205" s="29"/>
      <c r="Q205" s="29"/>
    </row>
    <row r="206" spans="14:17" ht="15.75" customHeight="1" x14ac:dyDescent="0.25">
      <c r="N206" s="29"/>
      <c r="O206" s="29"/>
      <c r="P206" s="29"/>
      <c r="Q206" s="29"/>
    </row>
    <row r="207" spans="14:17" ht="15.75" customHeight="1" x14ac:dyDescent="0.25">
      <c r="N207" s="29"/>
      <c r="O207" s="29"/>
      <c r="P207" s="29"/>
      <c r="Q207" s="29"/>
    </row>
    <row r="208" spans="14:17" ht="15.75" customHeight="1" x14ac:dyDescent="0.25">
      <c r="N208" s="29"/>
      <c r="O208" s="29"/>
      <c r="P208" s="29"/>
      <c r="Q208" s="29"/>
    </row>
    <row r="209" spans="14:17" ht="15.75" customHeight="1" x14ac:dyDescent="0.25">
      <c r="N209" s="29"/>
      <c r="O209" s="29"/>
      <c r="P209" s="29"/>
      <c r="Q209" s="29"/>
    </row>
    <row r="210" spans="14:17" ht="15.75" customHeight="1" x14ac:dyDescent="0.25">
      <c r="N210" s="29"/>
      <c r="O210" s="29"/>
      <c r="P210" s="29"/>
      <c r="Q210" s="29"/>
    </row>
    <row r="211" spans="14:17" ht="15.75" customHeight="1" x14ac:dyDescent="0.25">
      <c r="N211" s="29"/>
      <c r="O211" s="29"/>
      <c r="P211" s="29"/>
      <c r="Q211" s="29"/>
    </row>
    <row r="212" spans="14:17" ht="15.75" customHeight="1" x14ac:dyDescent="0.25">
      <c r="N212" s="29"/>
      <c r="O212" s="29"/>
      <c r="P212" s="29"/>
      <c r="Q212" s="29"/>
    </row>
    <row r="213" spans="14:17" ht="15.75" customHeight="1" x14ac:dyDescent="0.25">
      <c r="N213" s="29"/>
      <c r="O213" s="29"/>
      <c r="P213" s="29"/>
      <c r="Q213" s="29"/>
    </row>
    <row r="214" spans="14:17" ht="15.75" customHeight="1" x14ac:dyDescent="0.25">
      <c r="N214" s="29"/>
      <c r="O214" s="29"/>
      <c r="P214" s="29"/>
      <c r="Q214" s="29"/>
    </row>
    <row r="215" spans="14:17" ht="15.75" customHeight="1" x14ac:dyDescent="0.25">
      <c r="N215" s="29"/>
      <c r="O215" s="29"/>
      <c r="P215" s="29"/>
      <c r="Q215" s="29"/>
    </row>
    <row r="216" spans="14:17" ht="15.75" customHeight="1" x14ac:dyDescent="0.25">
      <c r="N216" s="29"/>
      <c r="O216" s="29"/>
      <c r="P216" s="29"/>
      <c r="Q216" s="29"/>
    </row>
    <row r="217" spans="14:17" ht="15.75" customHeight="1" x14ac:dyDescent="0.25">
      <c r="N217" s="29"/>
      <c r="O217" s="29"/>
      <c r="P217" s="29"/>
      <c r="Q217" s="29"/>
    </row>
    <row r="218" spans="14:17" ht="15.75" customHeight="1" x14ac:dyDescent="0.25">
      <c r="N218" s="29"/>
      <c r="O218" s="29"/>
      <c r="P218" s="29"/>
      <c r="Q218" s="29"/>
    </row>
    <row r="219" spans="14:17" ht="15.75" customHeight="1" x14ac:dyDescent="0.25">
      <c r="N219" s="29"/>
      <c r="O219" s="29"/>
      <c r="P219" s="29"/>
      <c r="Q219" s="29"/>
    </row>
    <row r="220" spans="14:17" ht="15.75" customHeight="1" x14ac:dyDescent="0.25">
      <c r="N220" s="29"/>
      <c r="O220" s="29"/>
      <c r="P220" s="29"/>
      <c r="Q220" s="29"/>
    </row>
    <row r="221" spans="14:17" ht="15.75" customHeight="1" x14ac:dyDescent="0.25">
      <c r="N221" s="29"/>
      <c r="O221" s="29"/>
      <c r="P221" s="29"/>
      <c r="Q221" s="29"/>
    </row>
    <row r="222" spans="14:17" ht="15.75" customHeight="1" x14ac:dyDescent="0.25">
      <c r="N222" s="29"/>
      <c r="O222" s="29"/>
      <c r="P222" s="29"/>
      <c r="Q222" s="29"/>
    </row>
    <row r="223" spans="14:17" ht="15.75" customHeight="1" x14ac:dyDescent="0.25">
      <c r="N223" s="29"/>
      <c r="O223" s="29"/>
      <c r="P223" s="29"/>
      <c r="Q223" s="29"/>
    </row>
    <row r="224" spans="14:17" ht="15.75" customHeight="1" x14ac:dyDescent="0.25">
      <c r="N224" s="29"/>
      <c r="O224" s="29"/>
      <c r="P224" s="29"/>
      <c r="Q224" s="29"/>
    </row>
    <row r="225" spans="14:17" ht="15.75" customHeight="1" x14ac:dyDescent="0.25">
      <c r="N225" s="29"/>
      <c r="O225" s="29"/>
      <c r="P225" s="29"/>
      <c r="Q225" s="29"/>
    </row>
    <row r="226" spans="14:17" ht="15.75" customHeight="1" x14ac:dyDescent="0.25">
      <c r="N226" s="29"/>
      <c r="O226" s="29"/>
      <c r="P226" s="29"/>
      <c r="Q226" s="29"/>
    </row>
    <row r="227" spans="14:17" ht="15.75" customHeight="1" x14ac:dyDescent="0.25">
      <c r="N227" s="29"/>
      <c r="O227" s="29"/>
      <c r="P227" s="29"/>
      <c r="Q227" s="29"/>
    </row>
    <row r="228" spans="14:17" ht="15.75" customHeight="1" x14ac:dyDescent="0.25">
      <c r="N228" s="29"/>
      <c r="O228" s="29"/>
      <c r="P228" s="29"/>
      <c r="Q228" s="29"/>
    </row>
    <row r="229" spans="14:17" ht="15.75" customHeight="1" x14ac:dyDescent="0.25">
      <c r="N229" s="29"/>
      <c r="O229" s="29"/>
      <c r="P229" s="29"/>
      <c r="Q229" s="29"/>
    </row>
    <row r="230" spans="14:17" ht="15.75" customHeight="1" x14ac:dyDescent="0.25">
      <c r="N230" s="29"/>
      <c r="O230" s="29"/>
      <c r="P230" s="29"/>
      <c r="Q230" s="29"/>
    </row>
    <row r="231" spans="14:17" ht="15.75" customHeight="1" x14ac:dyDescent="0.25">
      <c r="N231" s="29"/>
      <c r="O231" s="29"/>
      <c r="P231" s="29"/>
      <c r="Q231" s="29"/>
    </row>
    <row r="232" spans="14:17" ht="15.75" customHeight="1" x14ac:dyDescent="0.25">
      <c r="N232" s="29"/>
      <c r="O232" s="29"/>
      <c r="P232" s="29"/>
      <c r="Q232" s="29"/>
    </row>
    <row r="233" spans="14:17" ht="15.75" customHeight="1" x14ac:dyDescent="0.25">
      <c r="N233" s="29"/>
      <c r="O233" s="29"/>
      <c r="P233" s="29"/>
      <c r="Q233" s="29"/>
    </row>
    <row r="234" spans="14:17" ht="15.75" customHeight="1" x14ac:dyDescent="0.25">
      <c r="N234" s="29"/>
      <c r="O234" s="29"/>
      <c r="P234" s="29"/>
      <c r="Q234" s="29"/>
    </row>
    <row r="235" spans="14:17" ht="15.75" customHeight="1" x14ac:dyDescent="0.25">
      <c r="N235" s="29"/>
      <c r="O235" s="29"/>
      <c r="P235" s="29"/>
      <c r="Q235" s="29"/>
    </row>
    <row r="236" spans="14:17" ht="15.75" customHeight="1" x14ac:dyDescent="0.25">
      <c r="N236" s="29"/>
      <c r="O236" s="29"/>
      <c r="P236" s="29"/>
      <c r="Q236" s="29"/>
    </row>
    <row r="237" spans="14:17" ht="15.75" customHeight="1" x14ac:dyDescent="0.25">
      <c r="N237" s="29"/>
      <c r="O237" s="29"/>
      <c r="P237" s="29"/>
      <c r="Q237" s="29"/>
    </row>
    <row r="238" spans="14:17" ht="15.75" customHeight="1" x14ac:dyDescent="0.25">
      <c r="N238" s="29"/>
      <c r="O238" s="29"/>
      <c r="P238" s="29"/>
      <c r="Q238" s="29"/>
    </row>
    <row r="239" spans="14:17" ht="15.75" customHeight="1" x14ac:dyDescent="0.25">
      <c r="N239" s="29"/>
      <c r="O239" s="29"/>
      <c r="P239" s="29"/>
      <c r="Q239" s="29"/>
    </row>
    <row r="240" spans="14:17" ht="15.75" customHeight="1" x14ac:dyDescent="0.25">
      <c r="N240" s="29"/>
      <c r="O240" s="29"/>
      <c r="P240" s="29"/>
      <c r="Q240" s="29"/>
    </row>
    <row r="241" spans="14:17" ht="15.75" customHeight="1" x14ac:dyDescent="0.25">
      <c r="N241" s="29"/>
      <c r="O241" s="29"/>
      <c r="P241" s="29"/>
      <c r="Q241" s="29"/>
    </row>
    <row r="242" spans="14:17" ht="15.75" customHeight="1" x14ac:dyDescent="0.25">
      <c r="N242" s="29"/>
      <c r="O242" s="29"/>
      <c r="P242" s="29"/>
      <c r="Q242" s="29"/>
    </row>
    <row r="243" spans="14:17" ht="15.75" customHeight="1" x14ac:dyDescent="0.25">
      <c r="N243" s="29"/>
      <c r="O243" s="29"/>
      <c r="P243" s="29"/>
      <c r="Q243" s="29"/>
    </row>
    <row r="244" spans="14:17" ht="15.75" customHeight="1" x14ac:dyDescent="0.25">
      <c r="N244" s="29"/>
      <c r="O244" s="29"/>
      <c r="P244" s="29"/>
      <c r="Q244" s="29"/>
    </row>
    <row r="245" spans="14:17" ht="15.75" customHeight="1" x14ac:dyDescent="0.25">
      <c r="N245" s="29"/>
      <c r="O245" s="29"/>
      <c r="P245" s="29"/>
      <c r="Q245" s="29"/>
    </row>
    <row r="246" spans="14:17" ht="15.75" customHeight="1" x14ac:dyDescent="0.25">
      <c r="N246" s="29"/>
      <c r="O246" s="29"/>
      <c r="P246" s="29"/>
      <c r="Q246" s="29"/>
    </row>
    <row r="247" spans="14:17" ht="15.75" customHeight="1" x14ac:dyDescent="0.25">
      <c r="N247" s="29"/>
      <c r="O247" s="29"/>
      <c r="P247" s="29"/>
      <c r="Q247" s="29"/>
    </row>
    <row r="248" spans="14:17" ht="15.75" customHeight="1" x14ac:dyDescent="0.25">
      <c r="N248" s="29"/>
      <c r="O248" s="29"/>
      <c r="P248" s="29"/>
      <c r="Q248" s="29"/>
    </row>
    <row r="249" spans="14:17" ht="15.75" customHeight="1" x14ac:dyDescent="0.25">
      <c r="N249" s="29"/>
      <c r="O249" s="29"/>
      <c r="P249" s="29"/>
      <c r="Q249" s="29"/>
    </row>
    <row r="250" spans="14:17" ht="15.75" customHeight="1" x14ac:dyDescent="0.25">
      <c r="N250" s="29"/>
      <c r="O250" s="29"/>
      <c r="P250" s="29"/>
      <c r="Q250" s="29"/>
    </row>
    <row r="251" spans="14:17" ht="15.75" customHeight="1" x14ac:dyDescent="0.25">
      <c r="N251" s="29"/>
      <c r="O251" s="29"/>
      <c r="P251" s="29"/>
      <c r="Q251" s="29"/>
    </row>
    <row r="252" spans="14:17" ht="15.75" customHeight="1" x14ac:dyDescent="0.25">
      <c r="N252" s="29"/>
      <c r="O252" s="29"/>
      <c r="P252" s="29"/>
      <c r="Q252" s="29"/>
    </row>
    <row r="253" spans="14:17" ht="15.75" customHeight="1" x14ac:dyDescent="0.25">
      <c r="N253" s="29"/>
      <c r="O253" s="29"/>
      <c r="P253" s="29"/>
      <c r="Q253" s="29"/>
    </row>
    <row r="254" spans="14:17" ht="15.75" customHeight="1" x14ac:dyDescent="0.25">
      <c r="N254" s="29"/>
      <c r="O254" s="29"/>
      <c r="P254" s="29"/>
      <c r="Q254" s="29"/>
    </row>
    <row r="255" spans="14:17" ht="15.75" customHeight="1" x14ac:dyDescent="0.25">
      <c r="N255" s="29"/>
      <c r="O255" s="29"/>
      <c r="P255" s="29"/>
      <c r="Q255" s="29"/>
    </row>
    <row r="256" spans="14:17" ht="15.75" customHeight="1" x14ac:dyDescent="0.25">
      <c r="N256" s="29"/>
      <c r="O256" s="29"/>
      <c r="P256" s="29"/>
      <c r="Q256" s="29"/>
    </row>
    <row r="257" spans="14:17" ht="15.75" customHeight="1" x14ac:dyDescent="0.25">
      <c r="N257" s="29"/>
      <c r="O257" s="29"/>
      <c r="P257" s="29"/>
      <c r="Q257" s="29"/>
    </row>
    <row r="258" spans="14:17" ht="15.75" customHeight="1" x14ac:dyDescent="0.25">
      <c r="N258" s="29"/>
      <c r="O258" s="29"/>
      <c r="P258" s="29"/>
      <c r="Q258" s="29"/>
    </row>
    <row r="259" spans="14:17" ht="15.75" customHeight="1" x14ac:dyDescent="0.25">
      <c r="N259" s="29"/>
      <c r="O259" s="29"/>
      <c r="P259" s="29"/>
      <c r="Q259" s="29"/>
    </row>
    <row r="260" spans="14:17" ht="15.75" customHeight="1" x14ac:dyDescent="0.25">
      <c r="N260" s="29"/>
      <c r="O260" s="29"/>
      <c r="P260" s="29"/>
      <c r="Q260" s="29"/>
    </row>
    <row r="261" spans="14:17" ht="15.75" customHeight="1" x14ac:dyDescent="0.25">
      <c r="N261" s="29"/>
      <c r="O261" s="29"/>
      <c r="P261" s="29"/>
      <c r="Q261" s="29"/>
    </row>
    <row r="262" spans="14:17" ht="15.75" customHeight="1" x14ac:dyDescent="0.25">
      <c r="N262" s="29"/>
      <c r="O262" s="29"/>
      <c r="P262" s="29"/>
      <c r="Q262" s="29"/>
    </row>
    <row r="263" spans="14:17" ht="15.75" customHeight="1" x14ac:dyDescent="0.25">
      <c r="N263" s="29"/>
      <c r="O263" s="29"/>
      <c r="P263" s="29"/>
      <c r="Q263" s="29"/>
    </row>
    <row r="264" spans="14:17" ht="15.75" customHeight="1" x14ac:dyDescent="0.25">
      <c r="N264" s="29"/>
      <c r="O264" s="29"/>
      <c r="P264" s="29"/>
      <c r="Q264" s="29"/>
    </row>
    <row r="265" spans="14:17" ht="15.75" customHeight="1" x14ac:dyDescent="0.25">
      <c r="N265" s="29"/>
      <c r="O265" s="29"/>
      <c r="P265" s="29"/>
      <c r="Q265" s="29"/>
    </row>
    <row r="266" spans="14:17" ht="15.75" customHeight="1" x14ac:dyDescent="0.25">
      <c r="N266" s="29"/>
      <c r="O266" s="29"/>
      <c r="P266" s="29"/>
      <c r="Q266" s="29"/>
    </row>
    <row r="267" spans="14:17" ht="15.75" customHeight="1" x14ac:dyDescent="0.25">
      <c r="N267" s="29"/>
      <c r="O267" s="29"/>
      <c r="P267" s="29"/>
      <c r="Q267" s="29"/>
    </row>
    <row r="268" spans="14:17" ht="15.75" customHeight="1" x14ac:dyDescent="0.25">
      <c r="N268" s="29"/>
      <c r="O268" s="29"/>
      <c r="P268" s="29"/>
      <c r="Q268" s="29"/>
    </row>
    <row r="269" spans="14:17" ht="15.75" customHeight="1" x14ac:dyDescent="0.25">
      <c r="N269" s="29"/>
      <c r="O269" s="29"/>
      <c r="P269" s="29"/>
      <c r="Q269" s="29"/>
    </row>
    <row r="270" spans="14:17" ht="15.75" customHeight="1" x14ac:dyDescent="0.25">
      <c r="N270" s="29"/>
      <c r="O270" s="29"/>
      <c r="P270" s="29"/>
      <c r="Q270" s="29"/>
    </row>
    <row r="271" spans="14:17" ht="15.75" customHeight="1" x14ac:dyDescent="0.25">
      <c r="N271" s="29"/>
      <c r="O271" s="29"/>
      <c r="P271" s="29"/>
      <c r="Q271" s="29"/>
    </row>
    <row r="272" spans="14:17" ht="15.75" customHeight="1" x14ac:dyDescent="0.25">
      <c r="N272" s="29"/>
      <c r="O272" s="29"/>
      <c r="P272" s="29"/>
      <c r="Q272" s="29"/>
    </row>
    <row r="273" spans="14:17" ht="15.75" customHeight="1" x14ac:dyDescent="0.25">
      <c r="N273" s="29"/>
      <c r="O273" s="29"/>
      <c r="P273" s="29"/>
      <c r="Q273" s="29"/>
    </row>
    <row r="274" spans="14:17" ht="15.75" customHeight="1" x14ac:dyDescent="0.25">
      <c r="N274" s="29"/>
      <c r="O274" s="29"/>
      <c r="P274" s="29"/>
      <c r="Q274" s="29"/>
    </row>
    <row r="275" spans="14:17" ht="15.75" customHeight="1" x14ac:dyDescent="0.25">
      <c r="N275" s="29"/>
      <c r="O275" s="29"/>
      <c r="P275" s="29"/>
      <c r="Q275" s="29"/>
    </row>
    <row r="276" spans="14:17" ht="15.75" customHeight="1" x14ac:dyDescent="0.25">
      <c r="N276" s="29"/>
      <c r="O276" s="29"/>
      <c r="P276" s="29"/>
      <c r="Q276" s="29"/>
    </row>
    <row r="277" spans="14:17" ht="15.75" customHeight="1" x14ac:dyDescent="0.25">
      <c r="N277" s="29"/>
      <c r="O277" s="29"/>
      <c r="P277" s="29"/>
      <c r="Q277" s="29"/>
    </row>
    <row r="278" spans="14:17" ht="15.75" customHeight="1" x14ac:dyDescent="0.25">
      <c r="N278" s="29"/>
      <c r="O278" s="29"/>
      <c r="P278" s="29"/>
      <c r="Q278" s="29"/>
    </row>
    <row r="279" spans="14:17" ht="15.75" customHeight="1" x14ac:dyDescent="0.25">
      <c r="N279" s="29"/>
      <c r="O279" s="29"/>
      <c r="P279" s="29"/>
      <c r="Q279" s="29"/>
    </row>
    <row r="280" spans="14:17" ht="15.75" customHeight="1" x14ac:dyDescent="0.25">
      <c r="N280" s="29"/>
      <c r="O280" s="29"/>
      <c r="P280" s="29"/>
      <c r="Q280" s="29"/>
    </row>
    <row r="281" spans="14:17" ht="15.75" customHeight="1" x14ac:dyDescent="0.25">
      <c r="N281" s="29"/>
      <c r="O281" s="29"/>
      <c r="P281" s="29"/>
      <c r="Q281" s="29"/>
    </row>
    <row r="282" spans="14:17" ht="15.75" customHeight="1" x14ac:dyDescent="0.25">
      <c r="N282" s="29"/>
      <c r="O282" s="29"/>
      <c r="P282" s="29"/>
      <c r="Q282" s="29"/>
    </row>
    <row r="283" spans="14:17" ht="15.75" customHeight="1" x14ac:dyDescent="0.25"/>
    <row r="284" spans="14:17" ht="15.75" customHeight="1" x14ac:dyDescent="0.25"/>
    <row r="285" spans="14:17" ht="15.75" customHeight="1" x14ac:dyDescent="0.25"/>
    <row r="286" spans="14:17" ht="15.75" customHeight="1" x14ac:dyDescent="0.25"/>
    <row r="287" spans="14:17" ht="15.75" customHeight="1" x14ac:dyDescent="0.25"/>
    <row r="288" spans="14:17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autoFilter ref="B3:AJ93" xr:uid="{24A59F5D-9148-4BB3-9AB8-AB82E8B48E1B}">
    <filterColumn colId="11">
      <filters>
        <filter val="1.080E+02"/>
        <filter val="1.102E+06"/>
        <filter val="1.166E+06"/>
        <filter val="1.183E+13"/>
        <filter val="1.200E+02"/>
        <filter val="1.260E+02"/>
        <filter val="1.260E+04"/>
        <filter val="1.273E+05"/>
        <filter val="1.368E+05"/>
        <filter val="1.380E+02"/>
        <filter val="1.409E+17"/>
        <filter val="1.446E+03"/>
        <filter val="1.560E+02"/>
        <filter val="1.728E+04"/>
        <filter val="1.800E+04"/>
        <filter val="1.987E+05"/>
        <filter val="2.050E+14"/>
        <filter val="2.069E+11"/>
        <filter val="2.208E+26"/>
        <filter val="2.220E+02"/>
        <filter val="2.220E+16"/>
        <filter val="2.766E+09"/>
        <filter val="3.024E+06"/>
        <filter val="3.228E+07"/>
        <filter val="3.290E+04"/>
        <filter val="3.423E+06"/>
        <filter val="4.369E+06"/>
        <filter val="4.510E+08"/>
        <filter val="4.536E+05"/>
        <filter val="4.541E+08"/>
        <filter val="4.825E+13"/>
        <filter val="4.951E+14"/>
        <filter val="5.046E+16"/>
        <filter val="5.080E+06"/>
        <filter val="5.400E+03"/>
        <filter val="5.531E+06"/>
        <filter val="5.760E+03"/>
        <filter val="5.880E+03"/>
        <filter val="5.940E+02"/>
        <filter val="6.000E+01"/>
        <filter val="6.120E+03"/>
        <filter val="6.480E+03"/>
        <filter val="6.600E+01"/>
        <filter val="6.660E+04"/>
        <filter val="6.717E+12"/>
        <filter val="7.253E+13"/>
        <filter val="7.600E+11"/>
        <filter val="9.082E+08"/>
        <filter val="9.466E+08"/>
        <filter val="9.514E+08"/>
      </filters>
    </filterColumn>
    <sortState xmlns:xlrd2="http://schemas.microsoft.com/office/spreadsheetml/2017/richdata2" ref="B10:AJ93">
      <sortCondition ref="D3:D93"/>
    </sortState>
  </autoFilter>
  <mergeCells count="13">
    <mergeCell ref="V2:W2"/>
    <mergeCell ref="B66:AM66"/>
    <mergeCell ref="AH2:AI2"/>
    <mergeCell ref="AO2:AU2"/>
    <mergeCell ref="AK3:AL3"/>
    <mergeCell ref="AX2:BD2"/>
    <mergeCell ref="X2:Y2"/>
    <mergeCell ref="Z2:AA2"/>
    <mergeCell ref="AB2:AC2"/>
    <mergeCell ref="AD2:AE2"/>
    <mergeCell ref="AF2:AG2"/>
    <mergeCell ref="AJ2:AL2"/>
    <mergeCell ref="AM2:AM3"/>
  </mergeCells>
  <conditionalFormatting sqref="H1:H65 H67:H1048576">
    <cfRule type="containsText" dxfId="23" priority="12" operator="containsText" text="minutos">
      <formula>NOT(ISERROR(SEARCH("minutos",H1)))</formula>
    </cfRule>
    <cfRule type="containsText" dxfId="22" priority="13" operator="containsText" text="horas">
      <formula>NOT(ISERROR(SEARCH("horas",H1)))</formula>
    </cfRule>
    <cfRule type="containsText" dxfId="21" priority="14" operator="containsText" text="días">
      <formula>NOT(ISERROR(SEARCH("días",H1)))</formula>
    </cfRule>
    <cfRule type="containsText" dxfId="20" priority="15" operator="containsText" text="años">
      <formula>NOT(ISERROR(SEARCH("años",H1)))</formula>
    </cfRule>
  </conditionalFormatting>
  <conditionalFormatting sqref="I1:I40 I42:I65 I67:I1048576">
    <cfRule type="cellIs" dxfId="19" priority="9" operator="greaterThan">
      <formula>0</formula>
    </cfRule>
  </conditionalFormatting>
  <conditionalFormatting sqref="J1:J40 J42:J65 J67:J1048576">
    <cfRule type="cellIs" dxfId="18" priority="8" operator="greaterThan">
      <formula>0</formula>
    </cfRule>
  </conditionalFormatting>
  <conditionalFormatting sqref="J97:J99 M1:M65 M67:M97 M101:M1048576">
    <cfRule type="containsBlanks" dxfId="17" priority="10">
      <formula>LEN(TRIM(J1))=0</formula>
    </cfRule>
  </conditionalFormatting>
  <conditionalFormatting sqref="K1:K40 K42:K65 K67:K1048576">
    <cfRule type="cellIs" dxfId="16" priority="7" operator="greaterThan">
      <formula>0</formula>
    </cfRule>
  </conditionalFormatting>
  <conditionalFormatting sqref="L1:L40 L42:L65 L67:L1048576">
    <cfRule type="cellIs" dxfId="15" priority="5" operator="greaterThan">
      <formula>0</formula>
    </cfRule>
  </conditionalFormatting>
  <conditionalFormatting sqref="L3">
    <cfRule type="containsText" dxfId="14" priority="6" operator="containsText" text="minutos">
      <formula>NOT(ISERROR(SEARCH("minutos",L3)))</formula>
    </cfRule>
  </conditionalFormatting>
  <conditionalFormatting sqref="M1:M65 M67:M97 J97:J99 M101:M1048576">
    <cfRule type="cellIs" dxfId="13" priority="11" operator="equal">
      <formula>0</formula>
    </cfRule>
  </conditionalFormatting>
  <conditionalFormatting sqref="AJ4:AM65 AJ67:AM93">
    <cfRule type="cellIs" dxfId="12" priority="4" operator="equal">
      <formula>0</formula>
    </cfRule>
  </conditionalFormatting>
  <conditionalFormatting sqref="AL10:AL6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T66:AU66 AU10:AU6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C66:BD66 BD10:BD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9F5D-9148-4BB3-9AB8-AB82E8B48E1B}">
  <sheetPr filterMode="1"/>
  <dimension ref="B1:AV1000"/>
  <sheetViews>
    <sheetView topLeftCell="AE70" workbookViewId="0">
      <selection activeCell="AO27" sqref="AO27"/>
    </sheetView>
  </sheetViews>
  <sheetFormatPr defaultColWidth="14.42578125" defaultRowHeight="15" customHeight="1" x14ac:dyDescent="0.25"/>
  <cols>
    <col min="2" max="2" width="8.85546875" customWidth="1"/>
    <col min="3" max="4" width="15" customWidth="1"/>
    <col min="5" max="7" width="18.28515625" customWidth="1"/>
    <col min="8" max="12" width="14.28515625" customWidth="1"/>
    <col min="13" max="13" width="12.28515625" customWidth="1"/>
    <col min="14" max="14" width="18" customWidth="1"/>
    <col min="15" max="15" width="20" customWidth="1"/>
    <col min="16" max="16" width="11.140625" customWidth="1"/>
    <col min="17" max="17" width="13.5703125" customWidth="1"/>
    <col min="18" max="18" width="11.5703125" customWidth="1"/>
    <col min="19" max="20" width="12.140625" customWidth="1"/>
    <col min="21" max="22" width="21.140625" customWidth="1"/>
    <col min="23" max="30" width="13.140625" customWidth="1"/>
    <col min="31" max="33" width="18.85546875" customWidth="1"/>
    <col min="34" max="34" width="8.85546875" customWidth="1"/>
    <col min="35" max="40" width="12.5703125" customWidth="1"/>
    <col min="41" max="42" width="8.85546875" customWidth="1"/>
    <col min="43" max="45" width="12.85546875" customWidth="1"/>
  </cols>
  <sheetData>
    <row r="1" spans="2:48" ht="15" customHeight="1" thickBot="1" x14ac:dyDescent="0.3">
      <c r="T1" s="38"/>
    </row>
    <row r="2" spans="2:48" ht="30.75" thickBot="1" x14ac:dyDescent="0.3">
      <c r="O2" s="1" t="s">
        <v>0</v>
      </c>
      <c r="U2" s="133" t="s">
        <v>253</v>
      </c>
      <c r="V2" s="134"/>
      <c r="W2" s="133" t="s">
        <v>254</v>
      </c>
      <c r="X2" s="134"/>
      <c r="Y2" s="133" t="s">
        <v>255</v>
      </c>
      <c r="Z2" s="134"/>
      <c r="AA2" s="133" t="s">
        <v>256</v>
      </c>
      <c r="AB2" s="134"/>
      <c r="AC2" s="133" t="s">
        <v>257</v>
      </c>
      <c r="AD2" s="135"/>
      <c r="AE2" s="136" t="s">
        <v>6</v>
      </c>
      <c r="AF2" s="136"/>
      <c r="AG2" s="119" t="str">
        <f>B3</f>
        <v xml:space="preserve">Isotopo
</v>
      </c>
      <c r="AI2" s="130" t="s">
        <v>275</v>
      </c>
      <c r="AJ2" s="131"/>
      <c r="AK2" s="131"/>
      <c r="AL2" s="131"/>
      <c r="AM2" s="131"/>
      <c r="AN2" s="132"/>
      <c r="AQ2" s="130" t="s">
        <v>276</v>
      </c>
      <c r="AR2" s="131"/>
      <c r="AS2" s="131"/>
      <c r="AT2" s="131"/>
      <c r="AU2" s="131"/>
      <c r="AV2" s="132"/>
    </row>
    <row r="3" spans="2:48" ht="75" customHeight="1" thickBot="1" x14ac:dyDescent="0.3">
      <c r="B3" s="4" t="s">
        <v>84</v>
      </c>
      <c r="C3" s="40" t="s">
        <v>249</v>
      </c>
      <c r="D3" s="36" t="s">
        <v>246</v>
      </c>
      <c r="E3" s="36" t="s">
        <v>247</v>
      </c>
      <c r="F3" s="36" t="s">
        <v>201</v>
      </c>
      <c r="G3" s="36" t="s">
        <v>199</v>
      </c>
      <c r="H3" s="40" t="s">
        <v>200</v>
      </c>
      <c r="I3" s="59" t="s">
        <v>14</v>
      </c>
      <c r="J3" s="41" t="s">
        <v>1</v>
      </c>
      <c r="K3" s="41" t="s">
        <v>86</v>
      </c>
      <c r="L3" s="41" t="s">
        <v>154</v>
      </c>
      <c r="M3" s="41" t="s">
        <v>2</v>
      </c>
      <c r="N3" s="39" t="s">
        <v>3</v>
      </c>
      <c r="O3" s="39" t="s">
        <v>250</v>
      </c>
      <c r="P3" s="39" t="s">
        <v>251</v>
      </c>
      <c r="Q3" s="39" t="s">
        <v>252</v>
      </c>
      <c r="R3" s="39" t="s">
        <v>4</v>
      </c>
      <c r="S3" s="39" t="s">
        <v>5</v>
      </c>
      <c r="T3" s="49" t="s">
        <v>248</v>
      </c>
      <c r="U3" s="52" t="s">
        <v>258</v>
      </c>
      <c r="V3" s="52" t="s">
        <v>259</v>
      </c>
      <c r="W3" s="52" t="s">
        <v>260</v>
      </c>
      <c r="X3" s="52" t="s">
        <v>261</v>
      </c>
      <c r="Y3" s="52" t="s">
        <v>262</v>
      </c>
      <c r="Z3" s="52" t="s">
        <v>263</v>
      </c>
      <c r="AA3" s="52" t="s">
        <v>264</v>
      </c>
      <c r="AB3" s="52" t="s">
        <v>265</v>
      </c>
      <c r="AC3" s="52" t="s">
        <v>266</v>
      </c>
      <c r="AD3" s="52" t="s">
        <v>267</v>
      </c>
      <c r="AE3" s="52" t="s">
        <v>268</v>
      </c>
      <c r="AF3" s="52" t="s">
        <v>269</v>
      </c>
      <c r="AG3" s="119"/>
      <c r="AI3" s="67" t="s">
        <v>274</v>
      </c>
      <c r="AJ3" s="68" t="s">
        <v>270</v>
      </c>
      <c r="AK3" s="68" t="s">
        <v>273</v>
      </c>
      <c r="AL3" s="68" t="s">
        <v>271</v>
      </c>
      <c r="AM3" s="68" t="s">
        <v>272</v>
      </c>
      <c r="AN3" s="69" t="s">
        <v>257</v>
      </c>
      <c r="AQ3" s="70" t="s">
        <v>274</v>
      </c>
      <c r="AR3" s="71" t="s">
        <v>270</v>
      </c>
      <c r="AS3" s="71" t="s">
        <v>273</v>
      </c>
      <c r="AT3" s="71" t="s">
        <v>271</v>
      </c>
      <c r="AU3" s="71" t="s">
        <v>272</v>
      </c>
      <c r="AV3" s="72" t="s">
        <v>257</v>
      </c>
    </row>
    <row r="4" spans="2:48" hidden="1" x14ac:dyDescent="0.25">
      <c r="B4" s="6" t="s">
        <v>7</v>
      </c>
      <c r="C4" s="23">
        <v>6012</v>
      </c>
      <c r="D4" s="23"/>
      <c r="E4" s="24">
        <v>1.1821099999999999E-2</v>
      </c>
      <c r="F4" s="24"/>
      <c r="G4" s="24" t="s">
        <v>15</v>
      </c>
      <c r="H4" s="22" t="s">
        <v>15</v>
      </c>
      <c r="I4" s="20"/>
      <c r="J4" s="14"/>
      <c r="K4" s="17"/>
      <c r="L4" s="17"/>
      <c r="M4" s="12">
        <f>J4*24*3600+I4*365*24*3600+K4*3600+L4*60</f>
        <v>0</v>
      </c>
      <c r="N4" s="8"/>
      <c r="O4" s="30">
        <f t="shared" ref="O4:O9" si="0">10^-24</f>
        <v>1.0000000000000001E-24</v>
      </c>
      <c r="P4" s="30">
        <f t="shared" ref="P4:P35" si="1">PI()*$K$97^2*$K$98</f>
        <v>13978830.671413144</v>
      </c>
      <c r="Q4" s="10">
        <f t="shared" ref="Q4:Q9" si="2">E4/O4</f>
        <v>1.1821099999999998E+22</v>
      </c>
      <c r="R4" s="10">
        <f t="shared" ref="R4:R9" si="3">Q4*P4</f>
        <v>1.6524515524984191E+29</v>
      </c>
      <c r="S4" s="10">
        <f t="shared" ref="S4:S9" si="4">R4*N4</f>
        <v>0</v>
      </c>
      <c r="T4" s="10"/>
      <c r="U4" s="50">
        <v>0.01</v>
      </c>
      <c r="V4" s="50"/>
      <c r="W4" s="51">
        <v>0.999</v>
      </c>
      <c r="X4" s="51"/>
      <c r="Y4" s="51"/>
      <c r="Z4" s="51"/>
      <c r="AA4" s="51"/>
      <c r="AB4" s="51"/>
      <c r="AC4" s="51"/>
      <c r="AD4" s="51"/>
      <c r="AE4" s="43">
        <f t="shared" ref="AE4:AE9" si="5">S4*U4*(1-W4)</f>
        <v>0</v>
      </c>
      <c r="AF4" s="42"/>
      <c r="AG4" s="42"/>
    </row>
    <row r="5" spans="2:48" hidden="1" x14ac:dyDescent="0.25">
      <c r="B5" s="6" t="s">
        <v>16</v>
      </c>
      <c r="C5" s="23">
        <v>8016</v>
      </c>
      <c r="D5" s="23"/>
      <c r="E5" s="25">
        <v>3.5463399999999999E-2</v>
      </c>
      <c r="F5" s="25"/>
      <c r="G5" s="25" t="s">
        <v>15</v>
      </c>
      <c r="H5" s="22" t="s">
        <v>15</v>
      </c>
      <c r="I5" s="20"/>
      <c r="J5" s="14"/>
      <c r="K5" s="17"/>
      <c r="L5" s="17"/>
      <c r="M5" s="12">
        <f t="shared" ref="M5:M9" si="6">J5*24*3600+I5*365*24*3600+K5*3600+L5*60</f>
        <v>0</v>
      </c>
      <c r="N5" s="8"/>
      <c r="O5" s="30">
        <f t="shared" si="0"/>
        <v>1.0000000000000001E-24</v>
      </c>
      <c r="P5" s="30">
        <f t="shared" si="1"/>
        <v>13978830.671413144</v>
      </c>
      <c r="Q5" s="10">
        <f t="shared" si="2"/>
        <v>3.5463399999999993E+22</v>
      </c>
      <c r="R5" s="10">
        <f t="shared" si="3"/>
        <v>4.9573686363259279E+29</v>
      </c>
      <c r="S5" s="10">
        <f t="shared" si="4"/>
        <v>0</v>
      </c>
      <c r="T5" s="10"/>
      <c r="U5" s="9">
        <v>0.01</v>
      </c>
      <c r="V5" s="9"/>
      <c r="W5" s="11">
        <v>0.999</v>
      </c>
      <c r="X5" s="11"/>
      <c r="Y5" s="11"/>
      <c r="Z5" s="11"/>
      <c r="AA5" s="11"/>
      <c r="AB5" s="11"/>
      <c r="AC5" s="11"/>
      <c r="AD5" s="11"/>
      <c r="AE5" s="10">
        <f t="shared" si="5"/>
        <v>0</v>
      </c>
      <c r="AF5" s="42"/>
      <c r="AG5" s="42"/>
    </row>
    <row r="6" spans="2:48" hidden="1" x14ac:dyDescent="0.25">
      <c r="B6" s="6" t="s">
        <v>17</v>
      </c>
      <c r="C6" s="23">
        <v>36083</v>
      </c>
      <c r="D6" s="23"/>
      <c r="E6" s="25">
        <v>1.0084100000000001E-5</v>
      </c>
      <c r="F6" s="25"/>
      <c r="G6" s="25" t="s">
        <v>15</v>
      </c>
      <c r="H6" s="22" t="s">
        <v>15</v>
      </c>
      <c r="I6" s="20"/>
      <c r="J6" s="14"/>
      <c r="K6" s="17"/>
      <c r="L6" s="17"/>
      <c r="M6" s="12">
        <f t="shared" si="6"/>
        <v>0</v>
      </c>
      <c r="N6" s="8"/>
      <c r="O6" s="30">
        <f t="shared" si="0"/>
        <v>1.0000000000000001E-24</v>
      </c>
      <c r="P6" s="30">
        <f t="shared" si="1"/>
        <v>13978830.671413144</v>
      </c>
      <c r="Q6" s="10">
        <f t="shared" si="2"/>
        <v>1.00841E+19</v>
      </c>
      <c r="R6" s="10">
        <f t="shared" si="3"/>
        <v>1.4096392637359728E+26</v>
      </c>
      <c r="S6" s="10">
        <f t="shared" si="4"/>
        <v>0</v>
      </c>
      <c r="T6" s="10"/>
      <c r="U6" s="9">
        <v>0.01</v>
      </c>
      <c r="V6" s="9"/>
      <c r="W6" s="11">
        <v>0.999</v>
      </c>
      <c r="X6" s="11"/>
      <c r="Y6" s="11"/>
      <c r="Z6" s="11"/>
      <c r="AA6" s="11"/>
      <c r="AB6" s="11"/>
      <c r="AC6" s="11"/>
      <c r="AD6" s="11"/>
      <c r="AE6" s="10">
        <f t="shared" si="5"/>
        <v>0</v>
      </c>
      <c r="AF6" s="42"/>
      <c r="AG6" s="42"/>
    </row>
    <row r="7" spans="2:48" hidden="1" x14ac:dyDescent="0.25">
      <c r="B7" s="6" t="s">
        <v>18</v>
      </c>
      <c r="C7" s="23">
        <v>36084</v>
      </c>
      <c r="D7" s="23"/>
      <c r="E7" s="25">
        <v>2.3899900000000001E-5</v>
      </c>
      <c r="F7" s="25"/>
      <c r="G7" s="25" t="s">
        <v>15</v>
      </c>
      <c r="H7" s="22" t="s">
        <v>15</v>
      </c>
      <c r="I7" s="20"/>
      <c r="J7" s="14"/>
      <c r="K7" s="17"/>
      <c r="L7" s="17"/>
      <c r="M7" s="12">
        <f t="shared" si="6"/>
        <v>0</v>
      </c>
      <c r="N7" s="8"/>
      <c r="O7" s="30">
        <f t="shared" si="0"/>
        <v>1.0000000000000001E-24</v>
      </c>
      <c r="P7" s="30">
        <f t="shared" si="1"/>
        <v>13978830.671413144</v>
      </c>
      <c r="Q7" s="10">
        <f t="shared" si="2"/>
        <v>2.38999E+19</v>
      </c>
      <c r="R7" s="10">
        <f t="shared" si="3"/>
        <v>3.3409265516370698E+26</v>
      </c>
      <c r="S7" s="10">
        <f t="shared" si="4"/>
        <v>0</v>
      </c>
      <c r="T7" s="10"/>
      <c r="U7" s="9">
        <v>0.01</v>
      </c>
      <c r="V7" s="9"/>
      <c r="W7" s="11">
        <v>0.999</v>
      </c>
      <c r="X7" s="11"/>
      <c r="Y7" s="11"/>
      <c r="Z7" s="11"/>
      <c r="AA7" s="11"/>
      <c r="AB7" s="11"/>
      <c r="AC7" s="11"/>
      <c r="AD7" s="11"/>
      <c r="AE7" s="10">
        <f t="shared" si="5"/>
        <v>0</v>
      </c>
      <c r="AF7" s="42"/>
      <c r="AG7" s="42"/>
    </row>
    <row r="8" spans="2:48" hidden="1" x14ac:dyDescent="0.25">
      <c r="B8" s="6" t="s">
        <v>19</v>
      </c>
      <c r="C8" s="23">
        <v>36086</v>
      </c>
      <c r="D8" s="23"/>
      <c r="E8" s="25">
        <v>4.0467199999999998E-5</v>
      </c>
      <c r="F8" s="25"/>
      <c r="G8" s="25" t="s">
        <v>156</v>
      </c>
      <c r="H8" s="22" t="s">
        <v>15</v>
      </c>
      <c r="I8" s="20"/>
      <c r="J8" s="14"/>
      <c r="K8" s="17"/>
      <c r="L8" s="17"/>
      <c r="M8" s="12">
        <f t="shared" si="6"/>
        <v>0</v>
      </c>
      <c r="N8" s="8"/>
      <c r="O8" s="30">
        <f t="shared" si="0"/>
        <v>1.0000000000000001E-24</v>
      </c>
      <c r="P8" s="30">
        <f t="shared" si="1"/>
        <v>13978830.671413144</v>
      </c>
      <c r="Q8" s="10">
        <f t="shared" si="2"/>
        <v>4.0467199999999992E+19</v>
      </c>
      <c r="R8" s="10">
        <f t="shared" si="3"/>
        <v>5.6568413654620987E+26</v>
      </c>
      <c r="S8" s="10">
        <f t="shared" si="4"/>
        <v>0</v>
      </c>
      <c r="T8" s="10"/>
      <c r="U8" s="9">
        <v>0.01</v>
      </c>
      <c r="V8" s="9"/>
      <c r="W8" s="11">
        <v>0.999</v>
      </c>
      <c r="X8" s="11"/>
      <c r="Y8" s="11"/>
      <c r="Z8" s="11"/>
      <c r="AA8" s="11"/>
      <c r="AB8" s="11"/>
      <c r="AC8" s="11"/>
      <c r="AD8" s="11"/>
      <c r="AE8" s="10">
        <f t="shared" si="5"/>
        <v>0</v>
      </c>
      <c r="AF8" s="42"/>
      <c r="AG8" s="42"/>
    </row>
    <row r="9" spans="2:48" hidden="1" x14ac:dyDescent="0.25">
      <c r="B9" s="6" t="s">
        <v>20</v>
      </c>
      <c r="C9" s="23">
        <v>37085</v>
      </c>
      <c r="D9" s="23"/>
      <c r="E9" s="25">
        <v>2.3198699999999999E-5</v>
      </c>
      <c r="F9" s="25"/>
      <c r="G9" s="25" t="s">
        <v>15</v>
      </c>
      <c r="H9" s="22" t="s">
        <v>15</v>
      </c>
      <c r="I9" s="20"/>
      <c r="J9" s="14"/>
      <c r="K9" s="17"/>
      <c r="L9" s="17"/>
      <c r="M9" s="12">
        <f t="shared" si="6"/>
        <v>0</v>
      </c>
      <c r="N9" s="8"/>
      <c r="O9" s="30">
        <f t="shared" si="0"/>
        <v>1.0000000000000001E-24</v>
      </c>
      <c r="P9" s="30">
        <f t="shared" si="1"/>
        <v>13978830.671413144</v>
      </c>
      <c r="Q9" s="10">
        <f t="shared" si="2"/>
        <v>2.3198699999999996E+19</v>
      </c>
      <c r="R9" s="10">
        <f t="shared" si="3"/>
        <v>3.2429069909691205E+26</v>
      </c>
      <c r="S9" s="10">
        <f t="shared" si="4"/>
        <v>0</v>
      </c>
      <c r="T9" s="10"/>
      <c r="U9" s="9">
        <v>0.01</v>
      </c>
      <c r="V9" s="9"/>
      <c r="W9" s="11">
        <v>0.999</v>
      </c>
      <c r="X9" s="11"/>
      <c r="Y9" s="11"/>
      <c r="Z9" s="11"/>
      <c r="AA9" s="11"/>
      <c r="AB9" s="11"/>
      <c r="AC9" s="11"/>
      <c r="AD9" s="11"/>
      <c r="AE9" s="45">
        <f t="shared" si="5"/>
        <v>0</v>
      </c>
      <c r="AF9" s="42"/>
      <c r="AG9" s="42"/>
    </row>
    <row r="10" spans="2:48" x14ac:dyDescent="0.25">
      <c r="B10" s="6" t="s">
        <v>58</v>
      </c>
      <c r="C10" s="23">
        <v>46107</v>
      </c>
      <c r="D10" s="23" t="s">
        <v>239</v>
      </c>
      <c r="E10" s="25">
        <v>2.2393899999999999E-5</v>
      </c>
      <c r="F10" s="25"/>
      <c r="G10" s="25" t="s">
        <v>165</v>
      </c>
      <c r="H10" s="7" t="s">
        <v>59</v>
      </c>
      <c r="I10" s="13">
        <v>6500000</v>
      </c>
      <c r="J10" s="14"/>
      <c r="K10" s="17"/>
      <c r="L10" s="17"/>
      <c r="M10" s="12">
        <f t="shared" ref="M10:M41" si="7">J10*24*3600+I10*365*24*3600+K10*3600+L10*60</f>
        <v>204984000000000</v>
      </c>
      <c r="N10" s="12">
        <f>LN(2)/(M10)</f>
        <v>3.3814696784136581E-15</v>
      </c>
      <c r="O10" s="30">
        <f t="shared" ref="O10:O41" si="8">10^-24</f>
        <v>1.0000000000000001E-24</v>
      </c>
      <c r="P10" s="30">
        <f t="shared" si="1"/>
        <v>13978830.671413144</v>
      </c>
      <c r="Q10" s="10">
        <f t="shared" ref="Q10:Q41" si="9">E10/O10</f>
        <v>2.2393899999999996E+19</v>
      </c>
      <c r="R10" s="10">
        <f t="shared" ref="R10:R41" si="10">Q10*P10</f>
        <v>3.1304053617255875E+26</v>
      </c>
      <c r="S10" s="57">
        <f t="shared" ref="S10:S41" si="11">R10*N10</f>
        <v>1058537081181.8613</v>
      </c>
      <c r="T10" s="10" t="str">
        <f>D10</f>
        <v>Ag, Pd</v>
      </c>
      <c r="U10" s="61">
        <v>1</v>
      </c>
      <c r="V10" s="61">
        <v>1</v>
      </c>
      <c r="W10" s="62">
        <v>2</v>
      </c>
      <c r="X10" s="62">
        <v>1</v>
      </c>
      <c r="Y10" s="62">
        <v>500</v>
      </c>
      <c r="Z10" s="62">
        <v>100</v>
      </c>
      <c r="AA10" s="62">
        <v>2</v>
      </c>
      <c r="AB10" s="62">
        <v>1</v>
      </c>
      <c r="AC10" s="112">
        <f>10^8</f>
        <v>100000000</v>
      </c>
      <c r="AD10" s="112">
        <f>10^9</f>
        <v>1000000000</v>
      </c>
      <c r="AE10" s="48">
        <f>$S10*(1/U10)*(1/W10)*(1/Y10)*(1/AA10)*(1/AC10)</f>
        <v>5.2926854059093067</v>
      </c>
      <c r="AF10" s="48">
        <f>$S10*(1/V10)*(1/X10)*(1/Z10)*(1/AB10)*(1/AD10)</f>
        <v>10.585370811818613</v>
      </c>
      <c r="AG10" s="48" t="str">
        <f>B10</f>
        <v>Pd-107</v>
      </c>
      <c r="AI10" s="60">
        <f>$S10</f>
        <v>1058537081181.8613</v>
      </c>
      <c r="AJ10" s="60">
        <f>$S10*(1/U10)</f>
        <v>1058537081181.8613</v>
      </c>
      <c r="AK10" s="60">
        <f>$S10*(1/U10)*(1/W10)</f>
        <v>529268540590.93066</v>
      </c>
      <c r="AL10" s="60">
        <f>$S10*(1/U10)*(1/W10)*(1/Y10)</f>
        <v>1058537081.1818614</v>
      </c>
      <c r="AM10" s="60">
        <f>$S10*(1/U10)*(1/W10)*(1/Y10)*(1/AA10)</f>
        <v>529268540.5909307</v>
      </c>
      <c r="AN10" s="5">
        <f>$S10*(1/U10)*(1/W10)*(1/Y10)*(1/AA10)*(1/AC10)</f>
        <v>5.2926854059093067</v>
      </c>
      <c r="AQ10" s="60">
        <f>AI10</f>
        <v>1058537081181.8613</v>
      </c>
      <c r="AR10" s="60">
        <f>AQ10*(1/V10)</f>
        <v>1058537081181.8613</v>
      </c>
      <c r="AS10" s="60">
        <f>AR10*(1/X10)</f>
        <v>1058537081181.8613</v>
      </c>
      <c r="AT10" s="60">
        <f>AS10*(1/Z10)</f>
        <v>10585370811.818613</v>
      </c>
      <c r="AU10" s="60">
        <f>AT10*(1/AB10)</f>
        <v>10585370811.818613</v>
      </c>
      <c r="AV10" s="60">
        <f>AU10*(1/AD10)</f>
        <v>10.585370811818613</v>
      </c>
    </row>
    <row r="11" spans="2:48" ht="15" hidden="1" customHeight="1" x14ac:dyDescent="0.25">
      <c r="B11" s="6" t="s">
        <v>23</v>
      </c>
      <c r="C11" s="23">
        <v>38088</v>
      </c>
      <c r="D11" s="23"/>
      <c r="E11" s="25">
        <v>7.6611299999999996E-5</v>
      </c>
      <c r="F11" s="25"/>
      <c r="G11" s="25" t="s">
        <v>158</v>
      </c>
      <c r="H11" s="22" t="s">
        <v>15</v>
      </c>
      <c r="I11" s="20"/>
      <c r="J11" s="15"/>
      <c r="K11" s="18"/>
      <c r="L11" s="18"/>
      <c r="M11" s="12">
        <f t="shared" si="7"/>
        <v>0</v>
      </c>
      <c r="N11" s="8"/>
      <c r="O11" s="30">
        <f t="shared" si="8"/>
        <v>1.0000000000000001E-24</v>
      </c>
      <c r="P11" s="30">
        <f t="shared" si="1"/>
        <v>13978830.671413144</v>
      </c>
      <c r="Q11" s="10">
        <f t="shared" si="9"/>
        <v>7.6611299999999984E+19</v>
      </c>
      <c r="R11" s="10">
        <f t="shared" si="10"/>
        <v>1.0709363902168336E+27</v>
      </c>
      <c r="S11" s="10">
        <f t="shared" si="11"/>
        <v>0</v>
      </c>
      <c r="T11" s="10"/>
      <c r="U11" s="9">
        <v>0.01</v>
      </c>
      <c r="V11" s="9"/>
      <c r="W11" s="11">
        <v>0.999</v>
      </c>
      <c r="X11" s="11"/>
      <c r="Y11" s="11"/>
      <c r="Z11" s="11"/>
      <c r="AA11" s="11"/>
      <c r="AB11" s="11"/>
      <c r="AC11" s="11"/>
      <c r="AD11" s="11"/>
      <c r="AE11" s="46">
        <f t="shared" ref="AE11:AE41" si="12">S11*U11*(1-W11)</f>
        <v>0</v>
      </c>
      <c r="AF11" s="42"/>
      <c r="AG11" s="42"/>
    </row>
    <row r="12" spans="2:48" x14ac:dyDescent="0.25">
      <c r="B12" s="6" t="s">
        <v>21</v>
      </c>
      <c r="C12" s="23">
        <v>37087</v>
      </c>
      <c r="D12" s="23" t="s">
        <v>237</v>
      </c>
      <c r="E12" s="25">
        <v>5.6298799999999997E-5</v>
      </c>
      <c r="F12" s="25" t="s">
        <v>203</v>
      </c>
      <c r="G12" s="25" t="s">
        <v>157</v>
      </c>
      <c r="H12" s="7" t="s">
        <v>22</v>
      </c>
      <c r="I12" s="13">
        <v>1600000000</v>
      </c>
      <c r="J12" s="14"/>
      <c r="K12" s="17"/>
      <c r="L12" s="17"/>
      <c r="M12" s="12">
        <f t="shared" si="7"/>
        <v>5.04576E+16</v>
      </c>
      <c r="N12" s="12">
        <f>LN(2)/(M12)</f>
        <v>1.3737220568555487E-17</v>
      </c>
      <c r="O12" s="30">
        <f t="shared" si="8"/>
        <v>1.0000000000000001E-24</v>
      </c>
      <c r="P12" s="30">
        <f t="shared" si="1"/>
        <v>13978830.671413144</v>
      </c>
      <c r="Q12" s="10">
        <f t="shared" si="9"/>
        <v>5.6298799999999992E+19</v>
      </c>
      <c r="R12" s="10">
        <f t="shared" si="10"/>
        <v>7.8699139220375417E+26</v>
      </c>
      <c r="S12" s="57">
        <f t="shared" si="11"/>
        <v>10811074340.25753</v>
      </c>
      <c r="T12" s="10" t="str">
        <f t="shared" ref="T12:T13" si="13">D12</f>
        <v>Cs, Rb</v>
      </c>
      <c r="U12" s="63">
        <v>1</v>
      </c>
      <c r="V12" s="63">
        <v>1</v>
      </c>
      <c r="W12" s="64">
        <v>3</v>
      </c>
      <c r="X12" s="64">
        <v>1</v>
      </c>
      <c r="Y12" s="64">
        <f>10^8</f>
        <v>100000000</v>
      </c>
      <c r="Z12" s="64">
        <f>10^6</f>
        <v>1000000</v>
      </c>
      <c r="AA12" s="64">
        <v>5</v>
      </c>
      <c r="AB12" s="64">
        <v>2</v>
      </c>
      <c r="AC12" s="111">
        <f t="shared" ref="AC12:AC13" si="14">10^8</f>
        <v>100000000</v>
      </c>
      <c r="AD12" s="111">
        <f t="shared" ref="AD12:AD13" si="15">10^9</f>
        <v>1000000000</v>
      </c>
      <c r="AE12" s="48">
        <f t="shared" ref="AE12:AE13" si="16">$S12*(1/U12)*(1/W12)*(1/Y12)*(1/AA12)*(1/AC12)</f>
        <v>7.2073828935050204E-8</v>
      </c>
      <c r="AF12" s="48">
        <f t="shared" ref="AF12:AF13" si="17">$S12*(1/V12)*(1/X12)*(1/Z12)*(1/AB12)*(1/AD12)</f>
        <v>5.4055371701287652E-6</v>
      </c>
      <c r="AG12" s="48" t="str">
        <f t="shared" ref="AG12:AG13" si="18">B12</f>
        <v>Rb-87</v>
      </c>
      <c r="AI12" s="60">
        <f t="shared" ref="AI12:AI13" si="19">$S12</f>
        <v>10811074340.25753</v>
      </c>
      <c r="AJ12" s="60">
        <f t="shared" ref="AJ12:AJ13" si="20">$S12*(1/U12)</f>
        <v>10811074340.25753</v>
      </c>
      <c r="AK12" s="60">
        <f t="shared" ref="AK12:AK13" si="21">$S12*(1/U12)*(1/W12)</f>
        <v>3603691446.7525101</v>
      </c>
      <c r="AL12" s="60">
        <f t="shared" ref="AL12:AL13" si="22">$S12*(1/U12)*(1/W12)*(1/Y12)</f>
        <v>36.036914467525101</v>
      </c>
      <c r="AM12" s="60">
        <f t="shared" ref="AM12:AM13" si="23">$S12*(1/U12)*(1/W12)*(1/Y12)*(1/AA12)</f>
        <v>7.2073828935050201</v>
      </c>
      <c r="AN12" s="5">
        <f t="shared" ref="AN12:AN13" si="24">$S12*(1/U12)*(1/W12)*(1/Y12)*(1/AA12)*(1/AC12)</f>
        <v>7.2073828935050204E-8</v>
      </c>
      <c r="AQ12" s="60">
        <f t="shared" ref="AQ12:AQ13" si="25">AI12</f>
        <v>10811074340.25753</v>
      </c>
      <c r="AR12" s="60">
        <f t="shared" ref="AR12:AR13" si="26">AQ12*(1/V12)</f>
        <v>10811074340.25753</v>
      </c>
      <c r="AS12" s="60">
        <f t="shared" ref="AS12:AS13" si="27">AR12*(1/X12)</f>
        <v>10811074340.25753</v>
      </c>
      <c r="AT12" s="60">
        <f t="shared" ref="AT12:AT13" si="28">AS12*(1/Z12)</f>
        <v>10811.07434025753</v>
      </c>
      <c r="AU12" s="60">
        <f t="shared" ref="AU12:AU13" si="29">AT12*(1/AB12)</f>
        <v>5405.537170128765</v>
      </c>
      <c r="AV12" s="60">
        <f t="shared" ref="AV12:AV13" si="30">AU12*(1/AD12)</f>
        <v>5.4055371701287652E-6</v>
      </c>
    </row>
    <row r="13" spans="2:48" x14ac:dyDescent="0.25">
      <c r="B13" s="6" t="s">
        <v>77</v>
      </c>
      <c r="C13" s="23">
        <v>55135</v>
      </c>
      <c r="D13" s="23" t="s">
        <v>237</v>
      </c>
      <c r="E13" s="25">
        <v>2.74688E-5</v>
      </c>
      <c r="F13" s="25" t="s">
        <v>216</v>
      </c>
      <c r="G13" s="25" t="s">
        <v>169</v>
      </c>
      <c r="H13" s="7" t="s">
        <v>76</v>
      </c>
      <c r="I13" s="13">
        <v>2300000</v>
      </c>
      <c r="J13" s="14"/>
      <c r="K13" s="17"/>
      <c r="L13" s="17"/>
      <c r="M13" s="12">
        <f t="shared" si="7"/>
        <v>72532800000000</v>
      </c>
      <c r="N13" s="12">
        <f>LN(2)/(M13)</f>
        <v>9.5563273520385989E-15</v>
      </c>
      <c r="O13" s="30">
        <f t="shared" si="8"/>
        <v>1.0000000000000001E-24</v>
      </c>
      <c r="P13" s="30">
        <f t="shared" si="1"/>
        <v>13978830.671413144</v>
      </c>
      <c r="Q13" s="10">
        <f t="shared" si="9"/>
        <v>2.7468799999999996E+19</v>
      </c>
      <c r="R13" s="10">
        <f t="shared" si="10"/>
        <v>3.8398170394691332E+26</v>
      </c>
      <c r="S13" s="57">
        <f t="shared" si="11"/>
        <v>3669454860110.2754</v>
      </c>
      <c r="T13" s="10" t="str">
        <f t="shared" si="13"/>
        <v>Cs, Rb</v>
      </c>
      <c r="U13" s="63">
        <v>1</v>
      </c>
      <c r="V13" s="63">
        <v>1</v>
      </c>
      <c r="W13" s="64">
        <v>3</v>
      </c>
      <c r="X13" s="64">
        <v>1</v>
      </c>
      <c r="Y13" s="64">
        <f>10^8</f>
        <v>100000000</v>
      </c>
      <c r="Z13" s="64">
        <f>10^6</f>
        <v>1000000</v>
      </c>
      <c r="AA13" s="64">
        <v>5</v>
      </c>
      <c r="AB13" s="64">
        <v>2</v>
      </c>
      <c r="AC13" s="111">
        <f t="shared" si="14"/>
        <v>100000000</v>
      </c>
      <c r="AD13" s="111">
        <f t="shared" si="15"/>
        <v>1000000000</v>
      </c>
      <c r="AE13" s="48">
        <f t="shared" si="16"/>
        <v>2.446303240073517E-5</v>
      </c>
      <c r="AF13" s="48">
        <f t="shared" si="17"/>
        <v>1.8347274300551377E-3</v>
      </c>
      <c r="AG13" s="48" t="str">
        <f t="shared" si="18"/>
        <v>Cs-135</v>
      </c>
      <c r="AI13" s="60">
        <f t="shared" si="19"/>
        <v>3669454860110.2754</v>
      </c>
      <c r="AJ13" s="60">
        <f t="shared" si="20"/>
        <v>3669454860110.2754</v>
      </c>
      <c r="AK13" s="60">
        <f t="shared" si="21"/>
        <v>1223151620036.7583</v>
      </c>
      <c r="AL13" s="60">
        <f t="shared" si="22"/>
        <v>12231.516200367583</v>
      </c>
      <c r="AM13" s="60">
        <f t="shared" si="23"/>
        <v>2446.3032400735169</v>
      </c>
      <c r="AN13" s="5">
        <f t="shared" si="24"/>
        <v>2.446303240073517E-5</v>
      </c>
      <c r="AQ13" s="60">
        <f t="shared" si="25"/>
        <v>3669454860110.2754</v>
      </c>
      <c r="AR13" s="60">
        <f t="shared" si="26"/>
        <v>3669454860110.2754</v>
      </c>
      <c r="AS13" s="60">
        <f t="shared" si="27"/>
        <v>3669454860110.2754</v>
      </c>
      <c r="AT13" s="60">
        <f t="shared" si="28"/>
        <v>3669454.8601102754</v>
      </c>
      <c r="AU13" s="60">
        <f t="shared" si="29"/>
        <v>1834727.4300551377</v>
      </c>
      <c r="AV13" s="60">
        <f t="shared" si="30"/>
        <v>1.8347274300551377E-3</v>
      </c>
    </row>
    <row r="14" spans="2:48" ht="15" hidden="1" customHeight="1" x14ac:dyDescent="0.25">
      <c r="B14" s="6" t="s">
        <v>26</v>
      </c>
      <c r="C14" s="23">
        <v>39089</v>
      </c>
      <c r="D14" s="23"/>
      <c r="E14" s="25">
        <v>7.8584799999999993E-5</v>
      </c>
      <c r="F14" s="25"/>
      <c r="G14" s="25" t="s">
        <v>15</v>
      </c>
      <c r="H14" s="22" t="s">
        <v>15</v>
      </c>
      <c r="I14" s="20"/>
      <c r="J14" s="14"/>
      <c r="K14" s="17"/>
      <c r="L14" s="17"/>
      <c r="M14" s="12">
        <f t="shared" si="7"/>
        <v>0</v>
      </c>
      <c r="N14" s="8"/>
      <c r="O14" s="30">
        <f t="shared" si="8"/>
        <v>1.0000000000000001E-24</v>
      </c>
      <c r="P14" s="30">
        <f t="shared" si="1"/>
        <v>13978830.671413144</v>
      </c>
      <c r="Q14" s="10">
        <f t="shared" si="9"/>
        <v>7.8584799999999984E+19</v>
      </c>
      <c r="R14" s="10">
        <f t="shared" si="10"/>
        <v>1.0985236125468675E+27</v>
      </c>
      <c r="S14" s="10">
        <f t="shared" si="11"/>
        <v>0</v>
      </c>
      <c r="T14" s="10"/>
      <c r="U14" s="9">
        <v>0.01</v>
      </c>
      <c r="V14" s="9"/>
      <c r="W14" s="11">
        <v>0.999</v>
      </c>
      <c r="X14" s="11"/>
      <c r="Y14" s="11"/>
      <c r="Z14" s="11"/>
      <c r="AA14" s="11"/>
      <c r="AB14" s="11"/>
      <c r="AC14" s="11"/>
      <c r="AD14" s="11"/>
      <c r="AE14" s="46">
        <f t="shared" si="12"/>
        <v>0</v>
      </c>
      <c r="AF14" s="42"/>
      <c r="AG14" s="42"/>
    </row>
    <row r="15" spans="2:48" x14ac:dyDescent="0.25">
      <c r="B15" s="6" t="s">
        <v>79</v>
      </c>
      <c r="C15" s="23">
        <v>55137</v>
      </c>
      <c r="D15" s="23" t="s">
        <v>237</v>
      </c>
      <c r="E15" s="25">
        <v>1.5686500000000001E-4</v>
      </c>
      <c r="F15" s="25" t="s">
        <v>217</v>
      </c>
      <c r="G15" s="25" t="s">
        <v>78</v>
      </c>
      <c r="H15" s="7" t="s">
        <v>78</v>
      </c>
      <c r="I15" s="13">
        <v>30.17</v>
      </c>
      <c r="J15" s="14"/>
      <c r="K15" s="17"/>
      <c r="L15" s="17"/>
      <c r="M15" s="12">
        <f t="shared" si="7"/>
        <v>951441120</v>
      </c>
      <c r="N15" s="12">
        <f>LN(2)/(M15)</f>
        <v>7.2852346402680734E-10</v>
      </c>
      <c r="O15" s="30">
        <f t="shared" si="8"/>
        <v>1.0000000000000001E-24</v>
      </c>
      <c r="P15" s="30">
        <f t="shared" si="1"/>
        <v>13978830.671413144</v>
      </c>
      <c r="Q15" s="10">
        <f t="shared" si="9"/>
        <v>1.56865E+20</v>
      </c>
      <c r="R15" s="10">
        <f t="shared" si="10"/>
        <v>2.1927892732712227E+27</v>
      </c>
      <c r="S15" s="57">
        <f t="shared" si="11"/>
        <v>1.5974984372443766E+18</v>
      </c>
      <c r="T15" s="10" t="str">
        <f>D15</f>
        <v>Cs, Rb</v>
      </c>
      <c r="U15" s="63">
        <v>1</v>
      </c>
      <c r="V15" s="63">
        <v>1</v>
      </c>
      <c r="W15" s="64">
        <v>3</v>
      </c>
      <c r="X15" s="64">
        <v>1</v>
      </c>
      <c r="Y15" s="64">
        <f>10^8</f>
        <v>100000000</v>
      </c>
      <c r="Z15" s="64">
        <f>10^6</f>
        <v>1000000</v>
      </c>
      <c r="AA15" s="64">
        <v>5</v>
      </c>
      <c r="AB15" s="64">
        <v>2</v>
      </c>
      <c r="AC15" s="111">
        <f>10^8</f>
        <v>100000000</v>
      </c>
      <c r="AD15" s="111">
        <f>10^9</f>
        <v>1000000000</v>
      </c>
      <c r="AE15" s="48">
        <f>$S15*(1/U15)*(1/W15)*(1/Y15)*(1/AA15)*(1/AC15)</f>
        <v>10.649989581629178</v>
      </c>
      <c r="AF15" s="48">
        <f>$S15*(1/V15)*(1/X15)*(1/Z15)*(1/AB15)*(1/AD15)</f>
        <v>798.74921862218832</v>
      </c>
      <c r="AG15" s="48" t="str">
        <f>B15</f>
        <v>Cs-137</v>
      </c>
      <c r="AI15" s="60">
        <f>$S15</f>
        <v>1.5974984372443766E+18</v>
      </c>
      <c r="AJ15" s="60">
        <f>$S15*(1/U15)</f>
        <v>1.5974984372443766E+18</v>
      </c>
      <c r="AK15" s="60">
        <f>$S15*(1/U15)*(1/W15)</f>
        <v>5.3249947908145882E+17</v>
      </c>
      <c r="AL15" s="60">
        <f>$S15*(1/U15)*(1/W15)*(1/Y15)</f>
        <v>5324994790.8145885</v>
      </c>
      <c r="AM15" s="60">
        <f>$S15*(1/U15)*(1/W15)*(1/Y15)*(1/AA15)</f>
        <v>1064998958.1629177</v>
      </c>
      <c r="AN15" s="5">
        <f>$S15*(1/U15)*(1/W15)*(1/Y15)*(1/AA15)*(1/AC15)</f>
        <v>10.649989581629178</v>
      </c>
      <c r="AQ15" s="60">
        <f>AI15</f>
        <v>1.5974984372443766E+18</v>
      </c>
      <c r="AR15" s="60">
        <f>AQ15*(1/V15)</f>
        <v>1.5974984372443766E+18</v>
      </c>
      <c r="AS15" s="60">
        <f>AR15*(1/X15)</f>
        <v>1.5974984372443766E+18</v>
      </c>
      <c r="AT15" s="60">
        <f>AS15*(1/Z15)</f>
        <v>1597498437244.3765</v>
      </c>
      <c r="AU15" s="60">
        <f>AT15*(1/AB15)</f>
        <v>798749218622.18823</v>
      </c>
      <c r="AV15" s="60">
        <f>AU15*(1/AD15)</f>
        <v>798.74921862218832</v>
      </c>
    </row>
    <row r="16" spans="2:48" ht="15" hidden="1" customHeight="1" x14ac:dyDescent="0.25">
      <c r="B16" s="6" t="s">
        <v>29</v>
      </c>
      <c r="C16" s="23">
        <v>40091</v>
      </c>
      <c r="D16" s="23"/>
      <c r="E16" s="25">
        <v>9.3923800000000004E-5</v>
      </c>
      <c r="F16" s="25"/>
      <c r="G16" s="25" t="s">
        <v>15</v>
      </c>
      <c r="H16" s="22" t="s">
        <v>15</v>
      </c>
      <c r="I16" s="20"/>
      <c r="J16" s="14"/>
      <c r="K16" s="17"/>
      <c r="L16" s="17"/>
      <c r="M16" s="12">
        <f t="shared" si="7"/>
        <v>0</v>
      </c>
      <c r="N16" s="8"/>
      <c r="O16" s="30">
        <f t="shared" si="8"/>
        <v>1.0000000000000001E-24</v>
      </c>
      <c r="P16" s="30">
        <f t="shared" si="1"/>
        <v>13978830.671413144</v>
      </c>
      <c r="Q16" s="10">
        <f t="shared" si="9"/>
        <v>9.39238E+19</v>
      </c>
      <c r="R16" s="10">
        <f t="shared" si="10"/>
        <v>1.3129448962156738E+27</v>
      </c>
      <c r="S16" s="10">
        <f t="shared" si="11"/>
        <v>0</v>
      </c>
      <c r="T16" s="10"/>
      <c r="U16" s="9">
        <v>0.01</v>
      </c>
      <c r="V16" s="9"/>
      <c r="W16" s="11">
        <v>0.999</v>
      </c>
      <c r="X16" s="11"/>
      <c r="Y16" s="11"/>
      <c r="Z16" s="11"/>
      <c r="AA16" s="11"/>
      <c r="AB16" s="11"/>
      <c r="AC16" s="11"/>
      <c r="AD16" s="11"/>
      <c r="AE16" s="43">
        <f t="shared" si="12"/>
        <v>0</v>
      </c>
      <c r="AF16" s="42"/>
      <c r="AG16" s="42"/>
    </row>
    <row r="17" spans="2:48" ht="15" hidden="1" customHeight="1" x14ac:dyDescent="0.25">
      <c r="B17" s="6" t="s">
        <v>30</v>
      </c>
      <c r="C17" s="23">
        <v>40092</v>
      </c>
      <c r="D17" s="23"/>
      <c r="E17" s="25">
        <v>1.3447599999999999E-4</v>
      </c>
      <c r="F17" s="25"/>
      <c r="G17" s="25" t="s">
        <v>15</v>
      </c>
      <c r="H17" s="22" t="s">
        <v>15</v>
      </c>
      <c r="I17" s="20"/>
      <c r="J17" s="14"/>
      <c r="K17" s="17"/>
      <c r="L17" s="17"/>
      <c r="M17" s="12">
        <f t="shared" si="7"/>
        <v>0</v>
      </c>
      <c r="N17" s="8"/>
      <c r="O17" s="30">
        <f t="shared" si="8"/>
        <v>1.0000000000000001E-24</v>
      </c>
      <c r="P17" s="30">
        <f t="shared" si="1"/>
        <v>13978830.671413144</v>
      </c>
      <c r="Q17" s="10">
        <f t="shared" si="9"/>
        <v>1.3447599999999998E+20</v>
      </c>
      <c r="R17" s="10">
        <f t="shared" si="10"/>
        <v>1.8798172333689536E+27</v>
      </c>
      <c r="S17" s="10">
        <f t="shared" si="11"/>
        <v>0</v>
      </c>
      <c r="T17" s="10"/>
      <c r="U17" s="9">
        <v>0.01</v>
      </c>
      <c r="V17" s="9"/>
      <c r="W17" s="11">
        <v>0.999</v>
      </c>
      <c r="X17" s="11"/>
      <c r="Y17" s="11"/>
      <c r="Z17" s="11"/>
      <c r="AA17" s="11"/>
      <c r="AB17" s="11"/>
      <c r="AC17" s="11"/>
      <c r="AD17" s="11"/>
      <c r="AE17" s="45">
        <f t="shared" si="12"/>
        <v>0</v>
      </c>
      <c r="AF17" s="42"/>
      <c r="AG17" s="42"/>
    </row>
    <row r="18" spans="2:48" x14ac:dyDescent="0.25">
      <c r="B18" s="6" t="s">
        <v>68</v>
      </c>
      <c r="C18" s="23">
        <v>54133</v>
      </c>
      <c r="D18" s="23" t="s">
        <v>235</v>
      </c>
      <c r="E18" s="25">
        <v>5.1999400000000002E-6</v>
      </c>
      <c r="F18" s="25" t="s">
        <v>213</v>
      </c>
      <c r="G18" s="25" t="s">
        <v>167</v>
      </c>
      <c r="H18" s="6" t="s">
        <v>67</v>
      </c>
      <c r="I18" s="20"/>
      <c r="J18" s="14">
        <v>5.25</v>
      </c>
      <c r="K18" s="17"/>
      <c r="L18" s="17"/>
      <c r="M18" s="12">
        <f t="shared" si="7"/>
        <v>453600</v>
      </c>
      <c r="N18" s="12">
        <f>LN(2)/(M18)</f>
        <v>1.5281022499116959E-6</v>
      </c>
      <c r="O18" s="30">
        <f t="shared" si="8"/>
        <v>1.0000000000000001E-24</v>
      </c>
      <c r="P18" s="30">
        <f t="shared" si="1"/>
        <v>13978830.671413144</v>
      </c>
      <c r="Q18" s="10">
        <f t="shared" si="9"/>
        <v>5.19994E+18</v>
      </c>
      <c r="R18" s="10">
        <f t="shared" si="10"/>
        <v>7.2689080761508062E+25</v>
      </c>
      <c r="S18" s="57">
        <f t="shared" si="11"/>
        <v>1.1107634785567344E+20</v>
      </c>
      <c r="T18" s="10" t="str">
        <f>D18</f>
        <v>Gases nobles</v>
      </c>
      <c r="U18" s="9">
        <v>10</v>
      </c>
      <c r="V18" s="9">
        <v>3</v>
      </c>
      <c r="W18" s="11">
        <v>50</v>
      </c>
      <c r="X18" s="11">
        <v>17</v>
      </c>
      <c r="Y18" s="11">
        <f>10^8</f>
        <v>100000000</v>
      </c>
      <c r="Z18" s="11">
        <f>10^7</f>
        <v>10000000</v>
      </c>
      <c r="AA18" s="11">
        <v>1</v>
      </c>
      <c r="AB18" s="11">
        <v>1</v>
      </c>
      <c r="AC18" s="112">
        <v>1</v>
      </c>
      <c r="AD18" s="112">
        <v>1</v>
      </c>
      <c r="AE18" s="48">
        <f>$S18*(1/U18)*(1/W18)*(1/Y18)*(1/AA18)*(1/AC18)</f>
        <v>2221526957.1134691</v>
      </c>
      <c r="AF18" s="48">
        <f>$S18*(1/V18)*(1/X18)*(1/Z18)*(1/AB18)*(1/AD18)</f>
        <v>217796760501.32047</v>
      </c>
      <c r="AG18" s="48" t="str">
        <f>B18</f>
        <v>Xe-133</v>
      </c>
      <c r="AI18" s="60">
        <f>$S18</f>
        <v>1.1107634785567344E+20</v>
      </c>
      <c r="AJ18" s="60">
        <f>$S18*(1/U18)</f>
        <v>1.1107634785567345E+19</v>
      </c>
      <c r="AK18" s="60">
        <f>$S18*(1/U18)*(1/W18)</f>
        <v>2.2215269571134691E+17</v>
      </c>
      <c r="AL18" s="60">
        <f>$S18*(1/U18)*(1/W18)*(1/Y18)</f>
        <v>2221526957.1134691</v>
      </c>
      <c r="AM18" s="60">
        <f>$S18*(1/U18)*(1/W18)*(1/Y18)*(1/AA18)</f>
        <v>2221526957.1134691</v>
      </c>
      <c r="AN18" s="5">
        <f>$S18*(1/U18)*(1/W18)*(1/Y18)*(1/AA18)*(1/AC18)</f>
        <v>2221526957.1134691</v>
      </c>
      <c r="AQ18" s="60">
        <f>AI18</f>
        <v>1.1107634785567344E+20</v>
      </c>
      <c r="AR18" s="60">
        <f>AQ18*(1/V18)</f>
        <v>3.7025449285224481E+19</v>
      </c>
      <c r="AS18" s="60">
        <f>AR18*(1/X18)</f>
        <v>2.1779676050132047E+18</v>
      </c>
      <c r="AT18" s="60">
        <f>AS18*(1/Z18)</f>
        <v>217796760501.32047</v>
      </c>
      <c r="AU18" s="60">
        <f>AT18*(1/AB18)</f>
        <v>217796760501.32047</v>
      </c>
      <c r="AV18" s="60">
        <f>AU18*(1/AD18)</f>
        <v>217796760501.32047</v>
      </c>
    </row>
    <row r="19" spans="2:48" ht="15" hidden="1" customHeight="1" x14ac:dyDescent="0.25">
      <c r="B19" s="6" t="s">
        <v>33</v>
      </c>
      <c r="C19" s="23">
        <v>40094</v>
      </c>
      <c r="D19" s="23"/>
      <c r="E19" s="25">
        <v>1.5142500000000001E-4</v>
      </c>
      <c r="F19" s="25"/>
      <c r="G19" s="25" t="s">
        <v>15</v>
      </c>
      <c r="H19" s="22" t="s">
        <v>15</v>
      </c>
      <c r="I19" s="20"/>
      <c r="J19" s="14"/>
      <c r="K19" s="17"/>
      <c r="L19" s="17"/>
      <c r="M19" s="12">
        <f t="shared" si="7"/>
        <v>0</v>
      </c>
      <c r="N19" s="8"/>
      <c r="O19" s="30">
        <f t="shared" si="8"/>
        <v>1.0000000000000001E-24</v>
      </c>
      <c r="P19" s="30">
        <f t="shared" si="1"/>
        <v>13978830.671413144</v>
      </c>
      <c r="Q19" s="10">
        <f t="shared" si="9"/>
        <v>1.51425E+20</v>
      </c>
      <c r="R19" s="10">
        <f t="shared" si="10"/>
        <v>2.1167444344187352E+27</v>
      </c>
      <c r="S19" s="10">
        <f t="shared" si="11"/>
        <v>0</v>
      </c>
      <c r="T19" s="10"/>
      <c r="U19" s="9">
        <v>0.01</v>
      </c>
      <c r="V19" s="9"/>
      <c r="W19" s="11">
        <v>0.999</v>
      </c>
      <c r="X19" s="11"/>
      <c r="Y19" s="11"/>
      <c r="Z19" s="11"/>
      <c r="AA19" s="11"/>
      <c r="AB19" s="11"/>
      <c r="AC19" s="11"/>
      <c r="AD19" s="11"/>
      <c r="AE19" s="46">
        <f t="shared" si="12"/>
        <v>0</v>
      </c>
      <c r="AF19" s="42"/>
      <c r="AG19" s="42"/>
    </row>
    <row r="20" spans="2:48" x14ac:dyDescent="0.25">
      <c r="B20" s="6" t="s">
        <v>71</v>
      </c>
      <c r="C20" s="23">
        <v>54135</v>
      </c>
      <c r="D20" s="23" t="s">
        <v>235</v>
      </c>
      <c r="E20" s="25">
        <v>5.2926199999999998E-8</v>
      </c>
      <c r="F20" s="25" t="s">
        <v>214</v>
      </c>
      <c r="G20" s="25" t="s">
        <v>70</v>
      </c>
      <c r="H20" s="7" t="s">
        <v>70</v>
      </c>
      <c r="I20" s="13"/>
      <c r="J20" s="14"/>
      <c r="K20" s="17">
        <v>9.14</v>
      </c>
      <c r="L20" s="17"/>
      <c r="M20" s="12">
        <f t="shared" si="7"/>
        <v>32904</v>
      </c>
      <c r="N20" s="12">
        <f>LN(2)/(M20)</f>
        <v>2.1065742176025568E-5</v>
      </c>
      <c r="O20" s="30">
        <f t="shared" si="8"/>
        <v>1.0000000000000001E-24</v>
      </c>
      <c r="P20" s="30">
        <f t="shared" si="1"/>
        <v>13978830.671413144</v>
      </c>
      <c r="Q20" s="10">
        <f t="shared" si="9"/>
        <v>5.2926199999999992E+16</v>
      </c>
      <c r="R20" s="10">
        <f t="shared" si="10"/>
        <v>7.3984638788134627E+23</v>
      </c>
      <c r="S20" s="57">
        <f t="shared" si="11"/>
        <v>1.5585413256972247E+19</v>
      </c>
      <c r="T20" s="10" t="str">
        <f>D20</f>
        <v>Gases nobles</v>
      </c>
      <c r="U20" s="9">
        <v>10</v>
      </c>
      <c r="V20" s="9">
        <v>3</v>
      </c>
      <c r="W20" s="11">
        <v>50</v>
      </c>
      <c r="X20" s="11">
        <v>17</v>
      </c>
      <c r="Y20" s="11">
        <f>10^8</f>
        <v>100000000</v>
      </c>
      <c r="Z20" s="11">
        <f>10^7</f>
        <v>10000000</v>
      </c>
      <c r="AA20" s="11">
        <v>1</v>
      </c>
      <c r="AB20" s="11">
        <v>1</v>
      </c>
      <c r="AC20" s="112">
        <v>1</v>
      </c>
      <c r="AD20" s="112">
        <v>1</v>
      </c>
      <c r="AE20" s="48">
        <f>$S20*(1/U20)*(1/W20)*(1/Y20)*(1/AA20)*(1/AC20)</f>
        <v>311708265.13944495</v>
      </c>
      <c r="AF20" s="48">
        <f>$S20*(1/V20)*(1/X20)*(1/Z20)*(1/AB20)*(1/AD20)</f>
        <v>30559633837.200478</v>
      </c>
      <c r="AG20" s="48" t="str">
        <f>B20</f>
        <v>Xe-135</v>
      </c>
      <c r="AI20" s="60">
        <f>$S20</f>
        <v>1.5585413256972247E+19</v>
      </c>
      <c r="AJ20" s="60">
        <f>$S20*(1/U20)</f>
        <v>1.5585413256972247E+18</v>
      </c>
      <c r="AK20" s="60">
        <f>$S20*(1/U20)*(1/W20)</f>
        <v>3.1170826513944496E+16</v>
      </c>
      <c r="AL20" s="60">
        <f>$S20*(1/U20)*(1/W20)*(1/Y20)</f>
        <v>311708265.13944495</v>
      </c>
      <c r="AM20" s="60">
        <f>$S20*(1/U20)*(1/W20)*(1/Y20)*(1/AA20)</f>
        <v>311708265.13944495</v>
      </c>
      <c r="AN20" s="5">
        <f>$S20*(1/U20)*(1/W20)*(1/Y20)*(1/AA20)*(1/AC20)</f>
        <v>311708265.13944495</v>
      </c>
      <c r="AQ20" s="60">
        <f>AI20</f>
        <v>1.5585413256972247E+19</v>
      </c>
      <c r="AR20" s="60">
        <f>AQ20*(1/V20)</f>
        <v>5.1951377523240817E+18</v>
      </c>
      <c r="AS20" s="60">
        <f>AR20*(1/X20)</f>
        <v>3.055963383720048E+17</v>
      </c>
      <c r="AT20" s="60">
        <f>AS20*(1/Z20)</f>
        <v>30559633837.200478</v>
      </c>
      <c r="AU20" s="60">
        <f>AT20*(1/AB20)</f>
        <v>30559633837.200478</v>
      </c>
      <c r="AV20" s="60">
        <f>AU20*(1/AD20)</f>
        <v>30559633837.200478</v>
      </c>
    </row>
    <row r="21" spans="2:48" ht="15.75" hidden="1" customHeight="1" x14ac:dyDescent="0.25">
      <c r="B21" s="6" t="s">
        <v>36</v>
      </c>
      <c r="C21" s="23">
        <v>40096</v>
      </c>
      <c r="D21" s="23"/>
      <c r="E21" s="25">
        <v>1.5123599999999999E-4</v>
      </c>
      <c r="F21" s="25"/>
      <c r="G21" s="25" t="s">
        <v>15</v>
      </c>
      <c r="H21" s="22" t="s">
        <v>15</v>
      </c>
      <c r="I21" s="20"/>
      <c r="J21" s="14"/>
      <c r="K21" s="17"/>
      <c r="L21" s="17"/>
      <c r="M21" s="12">
        <f t="shared" si="7"/>
        <v>0</v>
      </c>
      <c r="N21" s="8"/>
      <c r="O21" s="30">
        <f t="shared" si="8"/>
        <v>1.0000000000000001E-24</v>
      </c>
      <c r="P21" s="30">
        <f t="shared" si="1"/>
        <v>13978830.671413144</v>
      </c>
      <c r="Q21" s="10">
        <f t="shared" si="9"/>
        <v>1.5123599999999997E+20</v>
      </c>
      <c r="R21" s="10">
        <f t="shared" si="10"/>
        <v>2.1141024354218379E+27</v>
      </c>
      <c r="S21" s="10">
        <f t="shared" si="11"/>
        <v>0</v>
      </c>
      <c r="T21" s="10"/>
      <c r="U21" s="9">
        <v>0.01</v>
      </c>
      <c r="V21" s="9"/>
      <c r="W21" s="11">
        <v>0.999</v>
      </c>
      <c r="X21" s="11"/>
      <c r="Y21" s="11"/>
      <c r="Z21" s="11"/>
      <c r="AA21" s="11"/>
      <c r="AB21" s="11"/>
      <c r="AC21" s="11"/>
      <c r="AD21" s="11"/>
      <c r="AE21" s="46">
        <f t="shared" si="12"/>
        <v>0</v>
      </c>
      <c r="AF21" s="42"/>
      <c r="AG21" s="42"/>
    </row>
    <row r="22" spans="2:48" ht="15.75" customHeight="1" x14ac:dyDescent="0.25">
      <c r="B22" s="6" t="s">
        <v>64</v>
      </c>
      <c r="C22" s="23">
        <v>53129</v>
      </c>
      <c r="D22" s="23" t="s">
        <v>236</v>
      </c>
      <c r="E22" s="25">
        <v>1.7419599999999998E-5</v>
      </c>
      <c r="F22" s="25" t="s">
        <v>212</v>
      </c>
      <c r="G22" s="25" t="s">
        <v>166</v>
      </c>
      <c r="H22" s="7" t="s">
        <v>63</v>
      </c>
      <c r="I22" s="13">
        <v>15700000</v>
      </c>
      <c r="J22" s="14"/>
      <c r="K22" s="17"/>
      <c r="L22" s="17"/>
      <c r="M22" s="12">
        <f t="shared" si="7"/>
        <v>495115200000000</v>
      </c>
      <c r="N22" s="12">
        <f>LN(2)/(M22)</f>
        <v>1.3999715229101133E-15</v>
      </c>
      <c r="O22" s="30">
        <f t="shared" si="8"/>
        <v>1.0000000000000001E-24</v>
      </c>
      <c r="P22" s="30">
        <f t="shared" si="1"/>
        <v>13978830.671413144</v>
      </c>
      <c r="Q22" s="10">
        <f t="shared" si="9"/>
        <v>1.7419599999999996E+19</v>
      </c>
      <c r="R22" s="10">
        <f t="shared" si="10"/>
        <v>2.4350563876374834E+26</v>
      </c>
      <c r="S22" s="57">
        <f t="shared" si="11"/>
        <v>340900959937.28467</v>
      </c>
      <c r="T22" s="10" t="str">
        <f>D22</f>
        <v>I, Br, Se, Te</v>
      </c>
      <c r="U22" s="63">
        <v>10</v>
      </c>
      <c r="V22" s="63">
        <v>3</v>
      </c>
      <c r="W22" s="64">
        <v>50</v>
      </c>
      <c r="X22" s="64">
        <v>17</v>
      </c>
      <c r="Y22" s="64">
        <f>10^8</f>
        <v>100000000</v>
      </c>
      <c r="Z22" s="64">
        <f>10^7</f>
        <v>10000000</v>
      </c>
      <c r="AA22" s="64">
        <v>1</v>
      </c>
      <c r="AB22" s="64">
        <v>1</v>
      </c>
      <c r="AC22" s="111">
        <f>10^8</f>
        <v>100000000</v>
      </c>
      <c r="AD22" s="111">
        <f>10^9</f>
        <v>1000000000</v>
      </c>
      <c r="AE22" s="48">
        <f>$S22*(1/U22)*(1/W22)*(1/Y22)*(1/AA22)*(1/AC22)</f>
        <v>6.8180191987456938E-8</v>
      </c>
      <c r="AF22" s="48">
        <f>$S22*(1/V22)*(1/X22)*(1/Z22)*(1/AB22)*(1/AD22)</f>
        <v>6.6843325477898958E-7</v>
      </c>
      <c r="AG22" s="48" t="str">
        <f>B22</f>
        <v>I-129</v>
      </c>
      <c r="AI22" s="60">
        <f>$S22</f>
        <v>340900959937.28467</v>
      </c>
      <c r="AJ22" s="60">
        <f>$S22*(1/U22)</f>
        <v>34090095993.72847</v>
      </c>
      <c r="AK22" s="60">
        <f>$S22*(1/U22)*(1/W22)</f>
        <v>681801919.87456942</v>
      </c>
      <c r="AL22" s="60">
        <f>$S22*(1/U22)*(1/W22)*(1/Y22)</f>
        <v>6.8180191987456942</v>
      </c>
      <c r="AM22" s="60">
        <f>$S22*(1/U22)*(1/W22)*(1/Y22)*(1/AA22)</f>
        <v>6.8180191987456942</v>
      </c>
      <c r="AN22" s="5">
        <f>$S22*(1/U22)*(1/W22)*(1/Y22)*(1/AA22)*(1/AC22)</f>
        <v>6.8180191987456938E-8</v>
      </c>
      <c r="AQ22" s="60">
        <f>AI22</f>
        <v>340900959937.28467</v>
      </c>
      <c r="AR22" s="60">
        <f>AQ22*(1/V22)</f>
        <v>113633653312.42822</v>
      </c>
      <c r="AS22" s="60">
        <f>AR22*(1/X22)</f>
        <v>6684332547.7898951</v>
      </c>
      <c r="AT22" s="60">
        <f>AS22*(1/Z22)</f>
        <v>668.43325477898952</v>
      </c>
      <c r="AU22" s="60">
        <f>AT22*(1/AB22)</f>
        <v>668.43325477898952</v>
      </c>
      <c r="AV22" s="60">
        <f>AU22*(1/AD22)</f>
        <v>6.6843325477898958E-7</v>
      </c>
    </row>
    <row r="23" spans="2:48" ht="15.75" hidden="1" customHeight="1" x14ac:dyDescent="0.25">
      <c r="B23" s="6" t="s">
        <v>39</v>
      </c>
      <c r="C23" s="23">
        <v>42095</v>
      </c>
      <c r="D23" s="23"/>
      <c r="E23" s="25">
        <v>8.5598800000000005E-5</v>
      </c>
      <c r="F23" s="25"/>
      <c r="G23" s="25" t="s">
        <v>15</v>
      </c>
      <c r="H23" s="22" t="s">
        <v>15</v>
      </c>
      <c r="I23" s="20"/>
      <c r="J23" s="14"/>
      <c r="K23" s="17"/>
      <c r="L23" s="17"/>
      <c r="M23" s="12">
        <f t="shared" si="7"/>
        <v>0</v>
      </c>
      <c r="N23" s="8"/>
      <c r="O23" s="30">
        <f t="shared" si="8"/>
        <v>1.0000000000000001E-24</v>
      </c>
      <c r="P23" s="30">
        <f t="shared" si="1"/>
        <v>13978830.671413144</v>
      </c>
      <c r="Q23" s="10">
        <f t="shared" si="9"/>
        <v>8.55988E+19</v>
      </c>
      <c r="R23" s="10">
        <f t="shared" si="10"/>
        <v>1.1965711308761595E+27</v>
      </c>
      <c r="S23" s="10">
        <f t="shared" si="11"/>
        <v>0</v>
      </c>
      <c r="T23" s="10"/>
      <c r="U23" s="9">
        <v>0.01</v>
      </c>
      <c r="V23" s="9"/>
      <c r="W23" s="11">
        <v>0.999</v>
      </c>
      <c r="X23" s="11"/>
      <c r="Y23" s="11"/>
      <c r="Z23" s="11"/>
      <c r="AA23" s="11"/>
      <c r="AB23" s="11"/>
      <c r="AC23" s="11"/>
      <c r="AD23" s="11"/>
      <c r="AE23" s="43">
        <f t="shared" si="12"/>
        <v>0</v>
      </c>
      <c r="AF23" s="42"/>
      <c r="AG23" s="42"/>
    </row>
    <row r="24" spans="2:48" ht="15.75" hidden="1" customHeight="1" x14ac:dyDescent="0.25">
      <c r="B24" s="6" t="s">
        <v>40</v>
      </c>
      <c r="C24" s="23">
        <v>42097</v>
      </c>
      <c r="D24" s="23"/>
      <c r="E24" s="25">
        <v>1.08613E-4</v>
      </c>
      <c r="F24" s="25"/>
      <c r="G24" s="25" t="s">
        <v>15</v>
      </c>
      <c r="H24" s="22" t="s">
        <v>15</v>
      </c>
      <c r="I24" s="20"/>
      <c r="J24" s="14"/>
      <c r="K24" s="17"/>
      <c r="L24" s="17"/>
      <c r="M24" s="12">
        <f t="shared" si="7"/>
        <v>0</v>
      </c>
      <c r="N24" s="8"/>
      <c r="O24" s="30">
        <f t="shared" si="8"/>
        <v>1.0000000000000001E-24</v>
      </c>
      <c r="P24" s="30">
        <f t="shared" si="1"/>
        <v>13978830.671413144</v>
      </c>
      <c r="Q24" s="10">
        <f t="shared" si="9"/>
        <v>1.0861299999999998E+20</v>
      </c>
      <c r="R24" s="10">
        <f t="shared" si="10"/>
        <v>1.5182827357141957E+27</v>
      </c>
      <c r="S24" s="10">
        <f t="shared" si="11"/>
        <v>0</v>
      </c>
      <c r="T24" s="10"/>
      <c r="U24" s="9">
        <v>0.01</v>
      </c>
      <c r="V24" s="9"/>
      <c r="W24" s="11">
        <v>0.999</v>
      </c>
      <c r="X24" s="11"/>
      <c r="Y24" s="11"/>
      <c r="Z24" s="11"/>
      <c r="AA24" s="11"/>
      <c r="AB24" s="11"/>
      <c r="AC24" s="11"/>
      <c r="AD24" s="11"/>
      <c r="AE24" s="10">
        <f t="shared" si="12"/>
        <v>0</v>
      </c>
      <c r="AF24" s="42"/>
      <c r="AG24" s="42"/>
    </row>
    <row r="25" spans="2:48" ht="15.75" hidden="1" customHeight="1" x14ac:dyDescent="0.25">
      <c r="B25" s="6" t="s">
        <v>41</v>
      </c>
      <c r="C25" s="23">
        <v>42098</v>
      </c>
      <c r="D25" s="23"/>
      <c r="E25" s="25">
        <v>1.4538600000000001E-4</v>
      </c>
      <c r="F25" s="25"/>
      <c r="G25" s="25" t="s">
        <v>15</v>
      </c>
      <c r="H25" s="22" t="s">
        <v>15</v>
      </c>
      <c r="I25" s="20"/>
      <c r="J25" s="14"/>
      <c r="K25" s="17"/>
      <c r="L25" s="17"/>
      <c r="M25" s="12">
        <f t="shared" si="7"/>
        <v>0</v>
      </c>
      <c r="N25" s="8"/>
      <c r="O25" s="30">
        <f t="shared" si="8"/>
        <v>1.0000000000000001E-24</v>
      </c>
      <c r="P25" s="30">
        <f t="shared" si="1"/>
        <v>13978830.671413144</v>
      </c>
      <c r="Q25" s="10">
        <f t="shared" si="9"/>
        <v>1.4538599999999998E+20</v>
      </c>
      <c r="R25" s="10">
        <f t="shared" si="10"/>
        <v>2.0323262759940711E+27</v>
      </c>
      <c r="S25" s="10">
        <f t="shared" si="11"/>
        <v>0</v>
      </c>
      <c r="T25" s="10"/>
      <c r="U25" s="9">
        <v>0.01</v>
      </c>
      <c r="V25" s="9"/>
      <c r="W25" s="11">
        <v>0.999</v>
      </c>
      <c r="X25" s="11"/>
      <c r="Y25" s="11"/>
      <c r="Z25" s="11"/>
      <c r="AA25" s="11"/>
      <c r="AB25" s="11"/>
      <c r="AC25" s="11"/>
      <c r="AD25" s="11"/>
      <c r="AE25" s="10">
        <f t="shared" si="12"/>
        <v>0</v>
      </c>
      <c r="AF25" s="42"/>
      <c r="AG25" s="42"/>
    </row>
    <row r="26" spans="2:48" ht="15.75" hidden="1" customHeight="1" x14ac:dyDescent="0.25">
      <c r="B26" s="6" t="s">
        <v>42</v>
      </c>
      <c r="C26" s="23">
        <v>42100</v>
      </c>
      <c r="D26" s="23"/>
      <c r="E26" s="25">
        <v>1.6096900000000001E-4</v>
      </c>
      <c r="F26" s="25"/>
      <c r="G26" s="25" t="s">
        <v>15</v>
      </c>
      <c r="H26" s="22" t="s">
        <v>15</v>
      </c>
      <c r="I26" s="20"/>
      <c r="J26" s="14"/>
      <c r="K26" s="17"/>
      <c r="L26" s="17"/>
      <c r="M26" s="12">
        <f t="shared" si="7"/>
        <v>0</v>
      </c>
      <c r="N26" s="8"/>
      <c r="O26" s="30">
        <f t="shared" si="8"/>
        <v>1.0000000000000001E-24</v>
      </c>
      <c r="P26" s="30">
        <f t="shared" si="1"/>
        <v>13978830.671413144</v>
      </c>
      <c r="Q26" s="10">
        <f t="shared" si="9"/>
        <v>1.60969E+20</v>
      </c>
      <c r="R26" s="10">
        <f t="shared" si="10"/>
        <v>2.2501583943467025E+27</v>
      </c>
      <c r="S26" s="10">
        <f t="shared" si="11"/>
        <v>0</v>
      </c>
      <c r="T26" s="10"/>
      <c r="U26" s="9">
        <v>0.01</v>
      </c>
      <c r="V26" s="9"/>
      <c r="W26" s="11">
        <v>0.999</v>
      </c>
      <c r="X26" s="11"/>
      <c r="Y26" s="11"/>
      <c r="Z26" s="11"/>
      <c r="AA26" s="11"/>
      <c r="AB26" s="11"/>
      <c r="AC26" s="11"/>
      <c r="AD26" s="11"/>
      <c r="AE26" s="45">
        <f t="shared" si="12"/>
        <v>0</v>
      </c>
      <c r="AF26" s="42"/>
      <c r="AG26" s="42"/>
    </row>
    <row r="27" spans="2:48" ht="15.75" customHeight="1" x14ac:dyDescent="0.25">
      <c r="B27" s="6" t="s">
        <v>43</v>
      </c>
      <c r="C27" s="23">
        <v>43099</v>
      </c>
      <c r="D27" s="23" t="s">
        <v>241</v>
      </c>
      <c r="E27" s="25">
        <v>1.3573799999999999E-4</v>
      </c>
      <c r="F27" s="25" t="s">
        <v>209</v>
      </c>
      <c r="G27" s="25" t="s">
        <v>163</v>
      </c>
      <c r="H27" s="7" t="s">
        <v>44</v>
      </c>
      <c r="I27" s="13">
        <v>213000</v>
      </c>
      <c r="J27" s="14"/>
      <c r="K27" s="17"/>
      <c r="L27" s="17"/>
      <c r="M27" s="12">
        <f t="shared" si="7"/>
        <v>6717168000000</v>
      </c>
      <c r="N27" s="12">
        <f>LN(2)/(M27)</f>
        <v>1.0319038924736516E-13</v>
      </c>
      <c r="O27" s="30">
        <f t="shared" si="8"/>
        <v>1.0000000000000001E-24</v>
      </c>
      <c r="P27" s="30">
        <f t="shared" si="1"/>
        <v>13978830.671413144</v>
      </c>
      <c r="Q27" s="10">
        <f t="shared" si="9"/>
        <v>1.3573799999999998E+20</v>
      </c>
      <c r="R27" s="10">
        <f t="shared" si="10"/>
        <v>1.8974585176762772E+27</v>
      </c>
      <c r="S27" s="57">
        <f t="shared" si="11"/>
        <v>195799483019743.56</v>
      </c>
      <c r="T27" s="10" t="str">
        <f>D27</f>
        <v>Mo, Ru, Rh, Tc</v>
      </c>
      <c r="U27" s="9">
        <v>1</v>
      </c>
      <c r="V27" s="9">
        <v>1</v>
      </c>
      <c r="W27" s="11">
        <v>500</v>
      </c>
      <c r="X27" s="11">
        <v>30</v>
      </c>
      <c r="Y27" s="11">
        <f>10^8</f>
        <v>100000000</v>
      </c>
      <c r="Z27" s="11">
        <f>10^7</f>
        <v>10000000</v>
      </c>
      <c r="AA27" s="11">
        <v>1000</v>
      </c>
      <c r="AB27" s="11">
        <v>300</v>
      </c>
      <c r="AC27" s="112">
        <f>10^8</f>
        <v>100000000</v>
      </c>
      <c r="AD27" s="112">
        <f>10^9</f>
        <v>1000000000</v>
      </c>
      <c r="AE27" s="48">
        <f>$S27*(1/U27)*(1/W27)*(1/Y27)*(1/AA27)*(1/AC27)</f>
        <v>3.9159896603948713E-8</v>
      </c>
      <c r="AF27" s="48">
        <f>$S27*(1/V27)*(1/X27)*(1/Z27)*(1/AB27)*(1/AD27)</f>
        <v>2.175549811330484E-6</v>
      </c>
      <c r="AG27" s="48" t="str">
        <f>B27</f>
        <v>Tc-99</v>
      </c>
      <c r="AI27" s="60">
        <f>$S27</f>
        <v>195799483019743.56</v>
      </c>
      <c r="AJ27" s="60">
        <f>$S27*(1/U27)</f>
        <v>195799483019743.56</v>
      </c>
      <c r="AK27" s="60">
        <f>$S27*(1/U27)*(1/W27)</f>
        <v>391598966039.48712</v>
      </c>
      <c r="AL27" s="60">
        <f>$S27*(1/U27)*(1/W27)*(1/Y27)</f>
        <v>3915.9896603948714</v>
      </c>
      <c r="AM27" s="60">
        <f>$S27*(1/U27)*(1/W27)*(1/Y27)*(1/AA27)</f>
        <v>3.9159896603948714</v>
      </c>
      <c r="AN27" s="5">
        <f>$S27*(1/U27)*(1/W27)*(1/Y27)*(1/AA27)*(1/AC27)</f>
        <v>3.9159896603948713E-8</v>
      </c>
      <c r="AQ27" s="60">
        <f>AI27</f>
        <v>195799483019743.56</v>
      </c>
      <c r="AR27" s="60">
        <f>AQ27*(1/V27)</f>
        <v>195799483019743.56</v>
      </c>
      <c r="AS27" s="60">
        <f>AR27*(1/X27)</f>
        <v>6526649433991.4521</v>
      </c>
      <c r="AT27" s="60">
        <f>AS27*(1/Z27)</f>
        <v>652664.94339914515</v>
      </c>
      <c r="AU27" s="60">
        <f>AT27*(1/AB27)</f>
        <v>2175.5498113304839</v>
      </c>
      <c r="AV27" s="60">
        <f>AU27*(1/AD27)</f>
        <v>2.175549811330484E-6</v>
      </c>
    </row>
    <row r="28" spans="2:48" ht="15.75" hidden="1" customHeight="1" x14ac:dyDescent="0.25">
      <c r="B28" s="6" t="s">
        <v>45</v>
      </c>
      <c r="C28" s="23">
        <v>44100</v>
      </c>
      <c r="D28" s="23"/>
      <c r="E28" s="25">
        <v>1.6340600000000001E-5</v>
      </c>
      <c r="F28" s="25"/>
      <c r="G28" s="25" t="s">
        <v>15</v>
      </c>
      <c r="H28" s="22" t="s">
        <v>15</v>
      </c>
      <c r="I28" s="20"/>
      <c r="J28" s="14"/>
      <c r="K28" s="17"/>
      <c r="L28" s="17"/>
      <c r="M28" s="12">
        <f t="shared" si="7"/>
        <v>0</v>
      </c>
      <c r="N28" s="8"/>
      <c r="O28" s="30">
        <f t="shared" si="8"/>
        <v>1.0000000000000001E-24</v>
      </c>
      <c r="P28" s="30">
        <f t="shared" si="1"/>
        <v>13978830.671413144</v>
      </c>
      <c r="Q28" s="10">
        <f t="shared" si="9"/>
        <v>1.6340599999999998E+19</v>
      </c>
      <c r="R28" s="10">
        <f t="shared" si="10"/>
        <v>2.2842248046929358E+26</v>
      </c>
      <c r="S28" s="10">
        <f t="shared" si="11"/>
        <v>0</v>
      </c>
      <c r="T28" s="10"/>
      <c r="U28" s="9">
        <v>0.01</v>
      </c>
      <c r="V28" s="9"/>
      <c r="W28" s="11">
        <v>0.999</v>
      </c>
      <c r="X28" s="11"/>
      <c r="Y28" s="11"/>
      <c r="Z28" s="11"/>
      <c r="AA28" s="11"/>
      <c r="AB28" s="11"/>
      <c r="AC28" s="11"/>
      <c r="AD28" s="11"/>
      <c r="AE28" s="43">
        <f t="shared" si="12"/>
        <v>0</v>
      </c>
      <c r="AF28" s="42"/>
      <c r="AG28" s="42"/>
    </row>
    <row r="29" spans="2:48" ht="15.75" hidden="1" customHeight="1" x14ac:dyDescent="0.25">
      <c r="B29" s="6" t="s">
        <v>46</v>
      </c>
      <c r="C29" s="23">
        <v>44101</v>
      </c>
      <c r="D29" s="23"/>
      <c r="E29" s="25">
        <v>1.30448E-4</v>
      </c>
      <c r="F29" s="25"/>
      <c r="G29" s="25" t="s">
        <v>15</v>
      </c>
      <c r="H29" s="22" t="s">
        <v>15</v>
      </c>
      <c r="I29" s="20"/>
      <c r="J29" s="14"/>
      <c r="K29" s="17"/>
      <c r="L29" s="17"/>
      <c r="M29" s="12">
        <f t="shared" si="7"/>
        <v>0</v>
      </c>
      <c r="N29" s="8"/>
      <c r="O29" s="30">
        <f t="shared" si="8"/>
        <v>1.0000000000000001E-24</v>
      </c>
      <c r="P29" s="30">
        <f t="shared" si="1"/>
        <v>13978830.671413144</v>
      </c>
      <c r="Q29" s="10">
        <f t="shared" si="9"/>
        <v>1.3044799999999998E+20</v>
      </c>
      <c r="R29" s="10">
        <f t="shared" si="10"/>
        <v>1.8235105034245015E+27</v>
      </c>
      <c r="S29" s="10">
        <f t="shared" si="11"/>
        <v>0</v>
      </c>
      <c r="T29" s="10"/>
      <c r="U29" s="9">
        <v>0.01</v>
      </c>
      <c r="V29" s="9"/>
      <c r="W29" s="11">
        <v>0.999</v>
      </c>
      <c r="X29" s="11"/>
      <c r="Y29" s="11"/>
      <c r="Z29" s="11"/>
      <c r="AA29" s="11"/>
      <c r="AB29" s="11"/>
      <c r="AC29" s="11"/>
      <c r="AD29" s="11"/>
      <c r="AE29" s="10">
        <f t="shared" si="12"/>
        <v>0</v>
      </c>
      <c r="AF29" s="42"/>
      <c r="AG29" s="42"/>
    </row>
    <row r="30" spans="2:48" ht="15.75" hidden="1" customHeight="1" x14ac:dyDescent="0.25">
      <c r="B30" s="6" t="s">
        <v>47</v>
      </c>
      <c r="C30" s="23">
        <v>44102</v>
      </c>
      <c r="D30" s="23"/>
      <c r="E30" s="25">
        <v>1.2452399999999999E-4</v>
      </c>
      <c r="F30" s="25"/>
      <c r="G30" s="25" t="s">
        <v>15</v>
      </c>
      <c r="H30" s="22" t="s">
        <v>15</v>
      </c>
      <c r="I30" s="20"/>
      <c r="J30" s="14"/>
      <c r="K30" s="17"/>
      <c r="L30" s="17"/>
      <c r="M30" s="12">
        <f t="shared" si="7"/>
        <v>0</v>
      </c>
      <c r="N30" s="8"/>
      <c r="O30" s="30">
        <f t="shared" si="8"/>
        <v>1.0000000000000001E-24</v>
      </c>
      <c r="P30" s="30">
        <f t="shared" si="1"/>
        <v>13978830.671413144</v>
      </c>
      <c r="Q30" s="10">
        <f t="shared" si="9"/>
        <v>1.2452399999999998E+20</v>
      </c>
      <c r="R30" s="10">
        <f t="shared" si="10"/>
        <v>1.74069991052705E+27</v>
      </c>
      <c r="S30" s="10">
        <f t="shared" si="11"/>
        <v>0</v>
      </c>
      <c r="T30" s="10"/>
      <c r="U30" s="9">
        <v>0.01</v>
      </c>
      <c r="V30" s="9"/>
      <c r="W30" s="11">
        <v>0.999</v>
      </c>
      <c r="X30" s="11"/>
      <c r="Y30" s="11"/>
      <c r="Z30" s="11"/>
      <c r="AA30" s="11"/>
      <c r="AB30" s="11"/>
      <c r="AC30" s="11"/>
      <c r="AD30" s="11"/>
      <c r="AE30" s="45">
        <f t="shared" si="12"/>
        <v>0</v>
      </c>
      <c r="AF30" s="42"/>
      <c r="AG30" s="42"/>
    </row>
    <row r="31" spans="2:48" ht="15.75" customHeight="1" x14ac:dyDescent="0.25">
      <c r="B31" s="6" t="s">
        <v>48</v>
      </c>
      <c r="C31" s="23">
        <v>44103</v>
      </c>
      <c r="D31" s="23" t="s">
        <v>241</v>
      </c>
      <c r="E31" s="25">
        <v>2.0480400000000001E-5</v>
      </c>
      <c r="F31" s="25" t="s">
        <v>210</v>
      </c>
      <c r="G31" s="25" t="s">
        <v>49</v>
      </c>
      <c r="H31" s="7" t="s">
        <v>49</v>
      </c>
      <c r="I31" s="13"/>
      <c r="J31" s="14">
        <v>39.619999999999997</v>
      </c>
      <c r="K31" s="17"/>
      <c r="L31" s="17"/>
      <c r="M31" s="12">
        <f t="shared" si="7"/>
        <v>3423167.9999999995</v>
      </c>
      <c r="N31" s="12">
        <f>LN(2)/(M31)</f>
        <v>2.0248704724978307E-7</v>
      </c>
      <c r="O31" s="30">
        <f t="shared" si="8"/>
        <v>1.0000000000000001E-24</v>
      </c>
      <c r="P31" s="30">
        <f t="shared" si="1"/>
        <v>13978830.671413144</v>
      </c>
      <c r="Q31" s="10">
        <f t="shared" si="9"/>
        <v>2.04804E+19</v>
      </c>
      <c r="R31" s="10">
        <f t="shared" si="10"/>
        <v>2.8629204368280974E+26</v>
      </c>
      <c r="S31" s="57">
        <f t="shared" si="11"/>
        <v>5.7970430576438051E+19</v>
      </c>
      <c r="T31" s="10" t="str">
        <f>D31</f>
        <v>Mo, Ru, Rh, Tc</v>
      </c>
      <c r="U31" s="9">
        <v>1</v>
      </c>
      <c r="V31" s="9">
        <v>1</v>
      </c>
      <c r="W31" s="11">
        <v>500</v>
      </c>
      <c r="X31" s="11">
        <v>30</v>
      </c>
      <c r="Y31" s="11">
        <f>10^8</f>
        <v>100000000</v>
      </c>
      <c r="Z31" s="11">
        <f>10^7</f>
        <v>10000000</v>
      </c>
      <c r="AA31" s="11">
        <v>1000</v>
      </c>
      <c r="AB31" s="11">
        <v>300</v>
      </c>
      <c r="AC31" s="112">
        <f>10^8</f>
        <v>100000000</v>
      </c>
      <c r="AD31" s="112">
        <f>10^9</f>
        <v>1000000000</v>
      </c>
      <c r="AE31" s="48">
        <f>$S31*(1/U31)*(1/W31)*(1/Y31)*(1/AA31)*(1/AC31)</f>
        <v>1.1594086115287613E-2</v>
      </c>
      <c r="AF31" s="48">
        <f>$S31*(1/V31)*(1/X31)*(1/Z31)*(1/AB31)*(1/AD31)</f>
        <v>0.64411589529375601</v>
      </c>
      <c r="AG31" s="48" t="str">
        <f>B31</f>
        <v>Ru-103</v>
      </c>
      <c r="AI31" s="60">
        <f>$S31</f>
        <v>5.7970430576438051E+19</v>
      </c>
      <c r="AJ31" s="60">
        <f>$S31*(1/U31)</f>
        <v>5.7970430576438051E+19</v>
      </c>
      <c r="AK31" s="60">
        <f>$S31*(1/U31)*(1/W31)</f>
        <v>1.1594086115287611E+17</v>
      </c>
      <c r="AL31" s="60">
        <f>$S31*(1/U31)*(1/W31)*(1/Y31)</f>
        <v>1159408611.5287611</v>
      </c>
      <c r="AM31" s="60">
        <f>$S31*(1/U31)*(1/W31)*(1/Y31)*(1/AA31)</f>
        <v>1159408.6115287612</v>
      </c>
      <c r="AN31" s="5">
        <f>$S31*(1/U31)*(1/W31)*(1/Y31)*(1/AA31)*(1/AC31)</f>
        <v>1.1594086115287613E-2</v>
      </c>
      <c r="AQ31" s="60">
        <f>AI31</f>
        <v>5.7970430576438051E+19</v>
      </c>
      <c r="AR31" s="60">
        <f>AQ31*(1/V31)</f>
        <v>5.7970430576438051E+19</v>
      </c>
      <c r="AS31" s="60">
        <f>AR31*(1/X31)</f>
        <v>1.9323476858812682E+18</v>
      </c>
      <c r="AT31" s="60">
        <f>AS31*(1/Z31)</f>
        <v>193234768588.1268</v>
      </c>
      <c r="AU31" s="60">
        <f>AT31*(1/AB31)</f>
        <v>644115895.29375601</v>
      </c>
      <c r="AV31" s="60">
        <f>AU31*(1/AD31)</f>
        <v>0.64411589529375601</v>
      </c>
    </row>
    <row r="32" spans="2:48" ht="15.75" hidden="1" customHeight="1" x14ac:dyDescent="0.25">
      <c r="B32" s="6" t="s">
        <v>50</v>
      </c>
      <c r="C32" s="23">
        <v>44104</v>
      </c>
      <c r="D32" s="23"/>
      <c r="E32" s="25">
        <v>7.2790800000000001E-5</v>
      </c>
      <c r="F32" s="25"/>
      <c r="G32" s="25" t="s">
        <v>15</v>
      </c>
      <c r="H32" s="22" t="s">
        <v>15</v>
      </c>
      <c r="I32" s="20"/>
      <c r="J32" s="14"/>
      <c r="K32" s="17"/>
      <c r="L32" s="17"/>
      <c r="M32" s="12">
        <f t="shared" si="7"/>
        <v>0</v>
      </c>
      <c r="N32" s="8"/>
      <c r="O32" s="30">
        <f t="shared" si="8"/>
        <v>1.0000000000000001E-24</v>
      </c>
      <c r="P32" s="30">
        <f t="shared" si="1"/>
        <v>13978830.671413144</v>
      </c>
      <c r="Q32" s="10">
        <f t="shared" si="9"/>
        <v>7.2790799999999992E+19</v>
      </c>
      <c r="R32" s="10">
        <f t="shared" si="10"/>
        <v>1.0175302676366998E+27</v>
      </c>
      <c r="S32" s="10">
        <f t="shared" si="11"/>
        <v>0</v>
      </c>
      <c r="T32" s="10"/>
      <c r="U32" s="9">
        <v>0.01</v>
      </c>
      <c r="V32" s="9"/>
      <c r="W32" s="11">
        <v>0.999</v>
      </c>
      <c r="X32" s="11"/>
      <c r="Y32" s="11"/>
      <c r="Z32" s="11"/>
      <c r="AA32" s="11"/>
      <c r="AB32" s="11"/>
      <c r="AC32" s="11"/>
      <c r="AD32" s="11"/>
      <c r="AE32" s="46">
        <f t="shared" si="12"/>
        <v>0</v>
      </c>
      <c r="AF32" s="42"/>
      <c r="AG32" s="42"/>
    </row>
    <row r="33" spans="2:48" ht="15.75" customHeight="1" x14ac:dyDescent="0.25">
      <c r="B33" s="6" t="s">
        <v>51</v>
      </c>
      <c r="C33" s="23">
        <v>44106</v>
      </c>
      <c r="D33" s="23" t="s">
        <v>241</v>
      </c>
      <c r="E33" s="25">
        <v>2.6273000000000001E-5</v>
      </c>
      <c r="F33" s="25" t="s">
        <v>211</v>
      </c>
      <c r="G33" s="25" t="s">
        <v>164</v>
      </c>
      <c r="H33" s="7" t="s">
        <v>52</v>
      </c>
      <c r="I33" s="13"/>
      <c r="J33" s="14">
        <v>373.6</v>
      </c>
      <c r="K33" s="17"/>
      <c r="L33" s="17"/>
      <c r="M33" s="12">
        <f t="shared" si="7"/>
        <v>32279040.000000004</v>
      </c>
      <c r="N33" s="12">
        <f>LN(2)/(M33)</f>
        <v>2.1473599603951828E-8</v>
      </c>
      <c r="O33" s="30">
        <f t="shared" si="8"/>
        <v>1.0000000000000001E-24</v>
      </c>
      <c r="P33" s="30">
        <f t="shared" si="1"/>
        <v>13978830.671413144</v>
      </c>
      <c r="Q33" s="10">
        <f t="shared" si="9"/>
        <v>2.6272999999999996E+19</v>
      </c>
      <c r="R33" s="10">
        <f t="shared" si="10"/>
        <v>3.6726581823003751E+26</v>
      </c>
      <c r="S33" s="57">
        <f t="shared" si="11"/>
        <v>7.8865191288895775E+18</v>
      </c>
      <c r="T33" s="10" t="str">
        <f>D33</f>
        <v>Mo, Ru, Rh, Tc</v>
      </c>
      <c r="U33" s="9">
        <v>1</v>
      </c>
      <c r="V33" s="9">
        <v>1</v>
      </c>
      <c r="W33" s="11">
        <v>500</v>
      </c>
      <c r="X33" s="11">
        <v>30</v>
      </c>
      <c r="Y33" s="11">
        <f>10^8</f>
        <v>100000000</v>
      </c>
      <c r="Z33" s="11">
        <f>10^7</f>
        <v>10000000</v>
      </c>
      <c r="AA33" s="11">
        <v>1000</v>
      </c>
      <c r="AB33" s="11">
        <v>300</v>
      </c>
      <c r="AC33" s="112">
        <f>10^8</f>
        <v>100000000</v>
      </c>
      <c r="AD33" s="112">
        <f>10^9</f>
        <v>1000000000</v>
      </c>
      <c r="AE33" s="48">
        <f>$S33*(1/U33)*(1/W33)*(1/Y33)*(1/AA33)*(1/AC33)</f>
        <v>1.5773038257779158E-3</v>
      </c>
      <c r="AF33" s="48">
        <f>$S33*(1/V33)*(1/X33)*(1/Z33)*(1/AB33)*(1/AD33)</f>
        <v>8.7627990320995316E-2</v>
      </c>
      <c r="AG33" s="48" t="str">
        <f>B33</f>
        <v>Ru-106</v>
      </c>
      <c r="AI33" s="60">
        <f>$S33</f>
        <v>7.8865191288895775E+18</v>
      </c>
      <c r="AJ33" s="60">
        <f>$S33*(1/U33)</f>
        <v>7.8865191288895775E+18</v>
      </c>
      <c r="AK33" s="60">
        <f>$S33*(1/U33)*(1/W33)</f>
        <v>1.5773038257779156E+16</v>
      </c>
      <c r="AL33" s="60">
        <f>$S33*(1/U33)*(1/W33)*(1/Y33)</f>
        <v>157730382.57779157</v>
      </c>
      <c r="AM33" s="60">
        <f>$S33*(1/U33)*(1/W33)*(1/Y33)*(1/AA33)</f>
        <v>157730.38257779158</v>
      </c>
      <c r="AN33" s="5">
        <f>$S33*(1/U33)*(1/W33)*(1/Y33)*(1/AA33)*(1/AC33)</f>
        <v>1.5773038257779158E-3</v>
      </c>
      <c r="AQ33" s="60">
        <f>AI33</f>
        <v>7.8865191288895775E+18</v>
      </c>
      <c r="AR33" s="60">
        <f>AQ33*(1/V33)</f>
        <v>7.8865191288895775E+18</v>
      </c>
      <c r="AS33" s="60">
        <f>AR33*(1/X33)</f>
        <v>2.6288397096298592E+17</v>
      </c>
      <c r="AT33" s="60">
        <f>AS33*(1/Z33)</f>
        <v>26288397096.298592</v>
      </c>
      <c r="AU33" s="60">
        <f>AT33*(1/AB33)</f>
        <v>87627990.320995316</v>
      </c>
      <c r="AV33" s="60">
        <f>AU33*(1/AD33)</f>
        <v>8.7627990320995316E-2</v>
      </c>
    </row>
    <row r="34" spans="2:48" ht="15.75" hidden="1" customHeight="1" x14ac:dyDescent="0.25">
      <c r="B34" s="6" t="s">
        <v>53</v>
      </c>
      <c r="C34" s="23">
        <v>45103</v>
      </c>
      <c r="D34" s="23"/>
      <c r="E34" s="25">
        <v>5.4965500000000001E-5</v>
      </c>
      <c r="F34" s="25"/>
      <c r="G34" s="25" t="s">
        <v>15</v>
      </c>
      <c r="H34" s="22" t="s">
        <v>15</v>
      </c>
      <c r="I34" s="20"/>
      <c r="J34" s="14"/>
      <c r="K34" s="17"/>
      <c r="L34" s="17"/>
      <c r="M34" s="12">
        <f t="shared" si="7"/>
        <v>0</v>
      </c>
      <c r="N34" s="8"/>
      <c r="O34" s="30">
        <f t="shared" si="8"/>
        <v>1.0000000000000001E-24</v>
      </c>
      <c r="P34" s="30">
        <f t="shared" si="1"/>
        <v>13978830.671413144</v>
      </c>
      <c r="Q34" s="10">
        <f t="shared" si="9"/>
        <v>5.4965499999999992E+19</v>
      </c>
      <c r="R34" s="10">
        <f t="shared" si="10"/>
        <v>7.6835341726955903E+26</v>
      </c>
      <c r="S34" s="10">
        <f t="shared" si="11"/>
        <v>0</v>
      </c>
      <c r="T34" s="10"/>
      <c r="U34" s="9">
        <v>0.01</v>
      </c>
      <c r="V34" s="9"/>
      <c r="W34" s="11">
        <v>0.999</v>
      </c>
      <c r="X34" s="11"/>
      <c r="Y34" s="11"/>
      <c r="Z34" s="11"/>
      <c r="AA34" s="11"/>
      <c r="AB34" s="11"/>
      <c r="AC34" s="11"/>
      <c r="AD34" s="11"/>
      <c r="AE34" s="46">
        <f t="shared" si="12"/>
        <v>0</v>
      </c>
      <c r="AF34" s="42"/>
      <c r="AG34" s="42"/>
    </row>
    <row r="35" spans="2:48" ht="15.75" customHeight="1" x14ac:dyDescent="0.25">
      <c r="B35" s="6" t="s">
        <v>54</v>
      </c>
      <c r="C35" s="23">
        <v>45105</v>
      </c>
      <c r="D35" s="23" t="s">
        <v>241</v>
      </c>
      <c r="E35" s="25">
        <v>4.30968E-7</v>
      </c>
      <c r="F35" s="25"/>
      <c r="G35" s="25" t="s">
        <v>55</v>
      </c>
      <c r="H35" s="7" t="s">
        <v>55</v>
      </c>
      <c r="I35" s="13"/>
      <c r="J35" s="14"/>
      <c r="K35" s="17">
        <v>35.36</v>
      </c>
      <c r="L35" s="17"/>
      <c r="M35" s="12">
        <f t="shared" si="7"/>
        <v>127296</v>
      </c>
      <c r="N35" s="12">
        <f>LN(2)/(M35)</f>
        <v>5.4451607321514057E-6</v>
      </c>
      <c r="O35" s="30">
        <f t="shared" si="8"/>
        <v>1.0000000000000001E-24</v>
      </c>
      <c r="P35" s="30">
        <f t="shared" si="1"/>
        <v>13978830.671413144</v>
      </c>
      <c r="Q35" s="10">
        <f t="shared" si="9"/>
        <v>4.3096799999999994E+17</v>
      </c>
      <c r="R35" s="10">
        <f t="shared" si="10"/>
        <v>6.0244286967975787E+24</v>
      </c>
      <c r="S35" s="57">
        <f t="shared" si="11"/>
        <v>3.2803982573448241E+19</v>
      </c>
      <c r="T35" s="10" t="str">
        <f>D35</f>
        <v>Mo, Ru, Rh, Tc</v>
      </c>
      <c r="U35" s="9">
        <v>1</v>
      </c>
      <c r="V35" s="9">
        <v>1</v>
      </c>
      <c r="W35" s="11">
        <v>500</v>
      </c>
      <c r="X35" s="11">
        <v>30</v>
      </c>
      <c r="Y35" s="11">
        <f>10^8</f>
        <v>100000000</v>
      </c>
      <c r="Z35" s="11">
        <f>10^7</f>
        <v>10000000</v>
      </c>
      <c r="AA35" s="11">
        <v>1000</v>
      </c>
      <c r="AB35" s="11">
        <v>300</v>
      </c>
      <c r="AC35" s="112">
        <f>10^8</f>
        <v>100000000</v>
      </c>
      <c r="AD35" s="112">
        <f>10^9</f>
        <v>1000000000</v>
      </c>
      <c r="AE35" s="48">
        <f>$S35*(1/U35)*(1/W35)*(1/Y35)*(1/AA35)*(1/AC35)</f>
        <v>6.5607965146896492E-3</v>
      </c>
      <c r="AF35" s="48">
        <f>$S35*(1/V35)*(1/X35)*(1/Z35)*(1/AB35)*(1/AD35)</f>
        <v>0.36448869526053601</v>
      </c>
      <c r="AG35" s="48" t="str">
        <f>B35</f>
        <v>Rh-105</v>
      </c>
      <c r="AI35" s="60">
        <f>$S35</f>
        <v>3.2803982573448241E+19</v>
      </c>
      <c r="AJ35" s="60">
        <f>$S35*(1/U35)</f>
        <v>3.2803982573448241E+19</v>
      </c>
      <c r="AK35" s="60">
        <f>$S35*(1/U35)*(1/W35)</f>
        <v>6.560796514689648E+16</v>
      </c>
      <c r="AL35" s="60">
        <f>$S35*(1/U35)*(1/W35)*(1/Y35)</f>
        <v>656079651.46896482</v>
      </c>
      <c r="AM35" s="60">
        <f>$S35*(1/U35)*(1/W35)*(1/Y35)*(1/AA35)</f>
        <v>656079.65146896488</v>
      </c>
      <c r="AN35" s="5">
        <f>$S35*(1/U35)*(1/W35)*(1/Y35)*(1/AA35)*(1/AC35)</f>
        <v>6.5607965146896492E-3</v>
      </c>
      <c r="AQ35" s="60">
        <f>AI35</f>
        <v>3.2803982573448241E+19</v>
      </c>
      <c r="AR35" s="60">
        <f>AQ35*(1/V35)</f>
        <v>3.2803982573448241E+19</v>
      </c>
      <c r="AS35" s="60">
        <f>AR35*(1/X35)</f>
        <v>1.0934660857816081E+18</v>
      </c>
      <c r="AT35" s="60">
        <f>AS35*(1/Z35)</f>
        <v>109346608578.1608</v>
      </c>
      <c r="AU35" s="60">
        <f>AT35*(1/AB35)</f>
        <v>364488695.26053602</v>
      </c>
      <c r="AV35" s="60">
        <f>AU35*(1/AD35)</f>
        <v>0.36448869526053601</v>
      </c>
    </row>
    <row r="36" spans="2:48" ht="15.75" hidden="1" customHeight="1" x14ac:dyDescent="0.25">
      <c r="B36" s="6" t="s">
        <v>56</v>
      </c>
      <c r="C36" s="23">
        <v>46105</v>
      </c>
      <c r="D36" s="23"/>
      <c r="E36" s="25">
        <v>4.12532E-5</v>
      </c>
      <c r="F36" s="25"/>
      <c r="G36" s="25" t="s">
        <v>15</v>
      </c>
      <c r="H36" s="22" t="s">
        <v>15</v>
      </c>
      <c r="I36" s="20"/>
      <c r="J36" s="14"/>
      <c r="K36" s="17"/>
      <c r="L36" s="17"/>
      <c r="M36" s="12">
        <f t="shared" si="7"/>
        <v>0</v>
      </c>
      <c r="N36" s="8"/>
      <c r="O36" s="30">
        <f t="shared" si="8"/>
        <v>1.0000000000000001E-24</v>
      </c>
      <c r="P36" s="30">
        <f t="shared" ref="P36:P67" si="31">PI()*$K$97^2*$K$98</f>
        <v>13978830.671413144</v>
      </c>
      <c r="Q36" s="10">
        <f t="shared" si="9"/>
        <v>4.1253199999999992E+19</v>
      </c>
      <c r="R36" s="10">
        <f t="shared" si="10"/>
        <v>5.7667149745394057E+26</v>
      </c>
      <c r="S36" s="10">
        <f t="shared" si="11"/>
        <v>0</v>
      </c>
      <c r="T36" s="10"/>
      <c r="U36" s="9">
        <v>0.01</v>
      </c>
      <c r="V36" s="9"/>
      <c r="W36" s="11">
        <v>0.999</v>
      </c>
      <c r="X36" s="11"/>
      <c r="Y36" s="11"/>
      <c r="Z36" s="11"/>
      <c r="AA36" s="11"/>
      <c r="AB36" s="11"/>
      <c r="AC36" s="11"/>
      <c r="AD36" s="11"/>
      <c r="AE36" s="43">
        <f t="shared" si="12"/>
        <v>0</v>
      </c>
      <c r="AF36" s="42"/>
      <c r="AG36" s="42"/>
    </row>
    <row r="37" spans="2:48" ht="15.75" hidden="1" customHeight="1" x14ac:dyDescent="0.25">
      <c r="B37" s="6" t="s">
        <v>57</v>
      </c>
      <c r="C37" s="23">
        <v>46106</v>
      </c>
      <c r="D37" s="23"/>
      <c r="E37" s="25">
        <v>1.77633E-5</v>
      </c>
      <c r="F37" s="25"/>
      <c r="G37" s="25" t="s">
        <v>15</v>
      </c>
      <c r="H37" s="22" t="s">
        <v>15</v>
      </c>
      <c r="I37" s="20"/>
      <c r="J37" s="14"/>
      <c r="K37" s="17"/>
      <c r="L37" s="17"/>
      <c r="M37" s="12">
        <f t="shared" si="7"/>
        <v>0</v>
      </c>
      <c r="N37" s="8"/>
      <c r="O37" s="30">
        <f t="shared" si="8"/>
        <v>1.0000000000000001E-24</v>
      </c>
      <c r="P37" s="30">
        <f t="shared" si="31"/>
        <v>13978830.671413144</v>
      </c>
      <c r="Q37" s="10">
        <f t="shared" si="9"/>
        <v>1.7763299999999998E+19</v>
      </c>
      <c r="R37" s="10">
        <f t="shared" si="10"/>
        <v>2.4831016286551308E+26</v>
      </c>
      <c r="S37" s="10">
        <f t="shared" si="11"/>
        <v>0</v>
      </c>
      <c r="T37" s="10"/>
      <c r="U37" s="9">
        <v>0.01</v>
      </c>
      <c r="V37" s="9"/>
      <c r="W37" s="11">
        <v>0.999</v>
      </c>
      <c r="X37" s="11"/>
      <c r="Y37" s="11"/>
      <c r="Z37" s="11"/>
      <c r="AA37" s="11"/>
      <c r="AB37" s="11"/>
      <c r="AC37" s="11"/>
      <c r="AD37" s="11"/>
      <c r="AE37" s="45">
        <f t="shared" si="12"/>
        <v>0</v>
      </c>
      <c r="AF37" s="42"/>
      <c r="AG37" s="42"/>
    </row>
    <row r="38" spans="2:48" ht="15.75" customHeight="1" x14ac:dyDescent="0.25">
      <c r="B38" s="6" t="s">
        <v>129</v>
      </c>
      <c r="C38" s="23">
        <v>92235</v>
      </c>
      <c r="D38" s="23" t="s">
        <v>242</v>
      </c>
      <c r="E38" s="25">
        <v>2.23551E-3</v>
      </c>
      <c r="F38" s="25" t="s">
        <v>222</v>
      </c>
      <c r="G38" s="25" t="s">
        <v>186</v>
      </c>
      <c r="H38" s="7" t="s">
        <v>130</v>
      </c>
      <c r="I38" s="21">
        <v>703800000</v>
      </c>
      <c r="J38" s="14"/>
      <c r="K38" s="17"/>
      <c r="L38" s="17"/>
      <c r="M38" s="12">
        <f t="shared" si="7"/>
        <v>2.21950368E+16</v>
      </c>
      <c r="N38" s="12">
        <f>LN(2)/(M38)</f>
        <v>3.1229827947838559E-17</v>
      </c>
      <c r="O38" s="30">
        <f t="shared" si="8"/>
        <v>1.0000000000000001E-24</v>
      </c>
      <c r="P38" s="30">
        <f t="shared" si="31"/>
        <v>13978830.671413144</v>
      </c>
      <c r="Q38" s="10">
        <f t="shared" si="9"/>
        <v>2.2355099999999998E+21</v>
      </c>
      <c r="R38" s="10">
        <f t="shared" si="10"/>
        <v>3.1249815754250794E+28</v>
      </c>
      <c r="S38" s="57">
        <f t="shared" si="11"/>
        <v>975926369406.9071</v>
      </c>
      <c r="T38" s="10" t="str">
        <f>D38</f>
        <v>Pu, Actinidos</v>
      </c>
      <c r="U38" s="63">
        <v>1</v>
      </c>
      <c r="V38" s="63">
        <v>1</v>
      </c>
      <c r="W38" s="64">
        <v>1000</v>
      </c>
      <c r="X38" s="64">
        <v>100</v>
      </c>
      <c r="Y38" s="64">
        <f>10^8</f>
        <v>100000000</v>
      </c>
      <c r="Z38" s="64">
        <f>10^7</f>
        <v>10000000</v>
      </c>
      <c r="AA38" s="64">
        <v>10000</v>
      </c>
      <c r="AB38" s="64">
        <v>1000</v>
      </c>
      <c r="AC38" s="111">
        <f>10^8</f>
        <v>100000000</v>
      </c>
      <c r="AD38" s="111">
        <f>10^9</f>
        <v>1000000000</v>
      </c>
      <c r="AE38" s="48">
        <f>$S38*(1/U38)*(1/W38)*(1/Y38)*(1/AA38)*(1/AC38)</f>
        <v>9.7592636940690717E-12</v>
      </c>
      <c r="AF38" s="48">
        <f>$S38*(1/V38)*(1/X38)*(1/Z38)*(1/AB38)*(1/AD38)</f>
        <v>9.7592636940690708E-10</v>
      </c>
      <c r="AG38" s="48" t="str">
        <f>B38</f>
        <v>U-235</v>
      </c>
      <c r="AI38" s="60">
        <f>$S38</f>
        <v>975926369406.9071</v>
      </c>
      <c r="AJ38" s="60">
        <f>$S38*(1/U38)</f>
        <v>975926369406.9071</v>
      </c>
      <c r="AK38" s="60">
        <f>$S38*(1/U38)*(1/W38)</f>
        <v>975926369.40690708</v>
      </c>
      <c r="AL38" s="60">
        <f>$S38*(1/U38)*(1/W38)*(1/Y38)</f>
        <v>9.7592636940690713</v>
      </c>
      <c r="AM38" s="60">
        <f>$S38*(1/U38)*(1/W38)*(1/Y38)*(1/AA38)</f>
        <v>9.759263694069072E-4</v>
      </c>
      <c r="AN38" s="5">
        <f>$S38*(1/U38)*(1/W38)*(1/Y38)*(1/AA38)*(1/AC38)</f>
        <v>9.7592636940690717E-12</v>
      </c>
      <c r="AQ38" s="60">
        <f>AI38</f>
        <v>975926369406.9071</v>
      </c>
      <c r="AR38" s="60">
        <f>AQ38*(1/V38)</f>
        <v>975926369406.9071</v>
      </c>
      <c r="AS38" s="60">
        <f>AR38*(1/X38)</f>
        <v>9759263694.0690708</v>
      </c>
      <c r="AT38" s="60">
        <f>AS38*(1/Z38)</f>
        <v>975.92636940690704</v>
      </c>
      <c r="AU38" s="60">
        <f>AT38*(1/AB38)</f>
        <v>0.97592636940690702</v>
      </c>
      <c r="AV38" s="60">
        <f>AU38*(1/AD38)</f>
        <v>9.7592636940690708E-10</v>
      </c>
    </row>
    <row r="39" spans="2:48" ht="15.75" hidden="1" customHeight="1" x14ac:dyDescent="0.25">
      <c r="B39" s="6" t="s">
        <v>60</v>
      </c>
      <c r="C39" s="23">
        <v>46108</v>
      </c>
      <c r="D39" s="23"/>
      <c r="E39" s="25">
        <v>1.4544E-5</v>
      </c>
      <c r="F39" s="25"/>
      <c r="G39" s="25" t="s">
        <v>15</v>
      </c>
      <c r="H39" s="22" t="s">
        <v>15</v>
      </c>
      <c r="I39" s="20"/>
      <c r="J39" s="14"/>
      <c r="K39" s="17"/>
      <c r="L39" s="17"/>
      <c r="M39" s="12">
        <f t="shared" si="7"/>
        <v>0</v>
      </c>
      <c r="N39" s="8"/>
      <c r="O39" s="30">
        <f t="shared" si="8"/>
        <v>1.0000000000000001E-24</v>
      </c>
      <c r="P39" s="30">
        <f t="shared" si="31"/>
        <v>13978830.671413144</v>
      </c>
      <c r="Q39" s="10">
        <f t="shared" si="9"/>
        <v>1.4543999999999998E+19</v>
      </c>
      <c r="R39" s="10">
        <f t="shared" si="10"/>
        <v>2.0330811328503274E+26</v>
      </c>
      <c r="S39" s="10">
        <f t="shared" si="11"/>
        <v>0</v>
      </c>
      <c r="T39" s="10"/>
      <c r="U39" s="9">
        <v>0.01</v>
      </c>
      <c r="V39" s="9"/>
      <c r="W39" s="11">
        <v>0.999</v>
      </c>
      <c r="X39" s="11"/>
      <c r="Y39" s="11"/>
      <c r="Z39" s="11"/>
      <c r="AA39" s="11"/>
      <c r="AB39" s="11"/>
      <c r="AC39" s="11"/>
      <c r="AD39" s="11"/>
      <c r="AE39" s="43">
        <f t="shared" si="12"/>
        <v>0</v>
      </c>
      <c r="AF39" s="42"/>
      <c r="AG39" s="42"/>
    </row>
    <row r="40" spans="2:48" ht="15.75" hidden="1" customHeight="1" x14ac:dyDescent="0.25">
      <c r="B40" s="6" t="s">
        <v>61</v>
      </c>
      <c r="C40" s="23">
        <v>47109</v>
      </c>
      <c r="D40" s="23"/>
      <c r="E40" s="25">
        <v>7.8391700000000007E-6</v>
      </c>
      <c r="F40" s="25"/>
      <c r="G40" s="25" t="s">
        <v>15</v>
      </c>
      <c r="H40" s="22" t="s">
        <v>15</v>
      </c>
      <c r="I40" s="31"/>
      <c r="J40" s="32"/>
      <c r="K40" s="33"/>
      <c r="L40" s="33"/>
      <c r="M40" s="12">
        <f t="shared" si="7"/>
        <v>0</v>
      </c>
      <c r="N40" s="8"/>
      <c r="O40" s="30">
        <f t="shared" si="8"/>
        <v>1.0000000000000001E-24</v>
      </c>
      <c r="P40" s="30">
        <f t="shared" si="31"/>
        <v>13978830.671413144</v>
      </c>
      <c r="Q40" s="10">
        <f t="shared" si="9"/>
        <v>7.83917E+18</v>
      </c>
      <c r="R40" s="10">
        <f t="shared" si="10"/>
        <v>1.0958243003442177E+26</v>
      </c>
      <c r="S40" s="10">
        <f t="shared" si="11"/>
        <v>0</v>
      </c>
      <c r="T40" s="10"/>
      <c r="U40" s="9">
        <v>0.01</v>
      </c>
      <c r="V40" s="9"/>
      <c r="W40" s="11">
        <v>0.999</v>
      </c>
      <c r="X40" s="11"/>
      <c r="Y40" s="11"/>
      <c r="Z40" s="11"/>
      <c r="AA40" s="11"/>
      <c r="AB40" s="11"/>
      <c r="AC40" s="11"/>
      <c r="AD40" s="11"/>
      <c r="AE40" s="10">
        <f t="shared" si="12"/>
        <v>0</v>
      </c>
      <c r="AF40" s="42"/>
      <c r="AG40" s="42"/>
    </row>
    <row r="41" spans="2:48" ht="15.75" hidden="1" customHeight="1" x14ac:dyDescent="0.25">
      <c r="B41" s="6" t="s">
        <v>62</v>
      </c>
      <c r="C41" s="23">
        <v>52130</v>
      </c>
      <c r="D41" s="23"/>
      <c r="E41" s="25">
        <v>4.8028000000000002E-5</v>
      </c>
      <c r="F41" s="25"/>
      <c r="G41" s="25" t="s">
        <v>15</v>
      </c>
      <c r="H41" s="22" t="s">
        <v>15</v>
      </c>
      <c r="I41" s="5"/>
      <c r="J41" s="5"/>
      <c r="K41" s="5"/>
      <c r="L41" s="5"/>
      <c r="M41" s="12">
        <f t="shared" si="7"/>
        <v>0</v>
      </c>
      <c r="N41" s="8"/>
      <c r="O41" s="30">
        <f t="shared" si="8"/>
        <v>1.0000000000000001E-24</v>
      </c>
      <c r="P41" s="30">
        <f t="shared" si="31"/>
        <v>13978830.671413144</v>
      </c>
      <c r="Q41" s="10">
        <f t="shared" si="9"/>
        <v>4.8028E+19</v>
      </c>
      <c r="R41" s="10">
        <f t="shared" si="10"/>
        <v>6.7137527948663053E+26</v>
      </c>
      <c r="S41" s="10">
        <f t="shared" si="11"/>
        <v>0</v>
      </c>
      <c r="T41" s="10"/>
      <c r="U41" s="9">
        <v>0.01</v>
      </c>
      <c r="V41" s="9"/>
      <c r="W41" s="11">
        <v>0.999</v>
      </c>
      <c r="X41" s="11"/>
      <c r="Y41" s="11"/>
      <c r="Z41" s="11"/>
      <c r="AA41" s="11"/>
      <c r="AB41" s="11"/>
      <c r="AC41" s="11"/>
      <c r="AD41" s="11"/>
      <c r="AE41" s="45">
        <f t="shared" si="12"/>
        <v>0</v>
      </c>
      <c r="AF41" s="42"/>
      <c r="AG41" s="42"/>
    </row>
    <row r="42" spans="2:48" ht="15.75" customHeight="1" x14ac:dyDescent="0.25">
      <c r="B42" s="6" t="s">
        <v>133</v>
      </c>
      <c r="C42" s="23">
        <v>92237</v>
      </c>
      <c r="D42" s="23" t="s">
        <v>242</v>
      </c>
      <c r="E42" s="25">
        <v>2.8464700000000002E-6</v>
      </c>
      <c r="F42" s="25" t="s">
        <v>223</v>
      </c>
      <c r="G42" s="25" t="s">
        <v>188</v>
      </c>
      <c r="H42" s="7" t="s">
        <v>134</v>
      </c>
      <c r="I42" s="37"/>
      <c r="J42" s="34"/>
      <c r="K42" s="35"/>
      <c r="L42" s="35">
        <v>98</v>
      </c>
      <c r="M42" s="12">
        <f t="shared" ref="M42:M73" si="32">J42*24*3600+I42*365*24*3600+K42*3600+L42*60</f>
        <v>5880</v>
      </c>
      <c r="N42" s="12">
        <f>LN(2)/(M42)</f>
        <v>1.1788217356461654E-4</v>
      </c>
      <c r="O42" s="30">
        <f t="shared" ref="O42:O73" si="33">10^-24</f>
        <v>1.0000000000000001E-24</v>
      </c>
      <c r="P42" s="30">
        <f t="shared" si="31"/>
        <v>13978830.671413144</v>
      </c>
      <c r="Q42" s="10">
        <f t="shared" ref="Q42:Q73" si="34">E42/O42</f>
        <v>2.84647E+18</v>
      </c>
      <c r="R42" s="10">
        <f t="shared" ref="R42:R73" si="35">Q42*P42</f>
        <v>3.9790322141257372E+25</v>
      </c>
      <c r="S42" s="57">
        <f t="shared" ref="S42:S73" si="36">R42*N42</f>
        <v>4.6905696608477061E+21</v>
      </c>
      <c r="T42" s="10" t="str">
        <f>D42</f>
        <v>Pu, Actinidos</v>
      </c>
      <c r="U42" s="63">
        <v>1</v>
      </c>
      <c r="V42" s="63">
        <v>1</v>
      </c>
      <c r="W42" s="64">
        <v>1000</v>
      </c>
      <c r="X42" s="64">
        <v>100</v>
      </c>
      <c r="Y42" s="64">
        <f>10^8</f>
        <v>100000000</v>
      </c>
      <c r="Z42" s="64">
        <f>10^7</f>
        <v>10000000</v>
      </c>
      <c r="AA42" s="64">
        <v>10000</v>
      </c>
      <c r="AB42" s="64">
        <v>1000</v>
      </c>
      <c r="AC42" s="111">
        <f>10^8</f>
        <v>100000000</v>
      </c>
      <c r="AD42" s="111">
        <f>10^9</f>
        <v>1000000000</v>
      </c>
      <c r="AE42" s="48">
        <f>$S42*(1/U42)*(1/W42)*(1/Y42)*(1/AA42)*(1/AC42)</f>
        <v>4.6905696608477057E-2</v>
      </c>
      <c r="AF42" s="48">
        <f>$S42*(1/V42)*(1/X42)*(1/Z42)*(1/AB42)*(1/AD42)</f>
        <v>4.6905696608477063</v>
      </c>
      <c r="AG42" s="48" t="str">
        <f>B42</f>
        <v>U-237</v>
      </c>
      <c r="AI42" s="60">
        <f>$S42</f>
        <v>4.6905696608477061E+21</v>
      </c>
      <c r="AJ42" s="60">
        <f>$S42*(1/U42)</f>
        <v>4.6905696608477061E+21</v>
      </c>
      <c r="AK42" s="60">
        <f>$S42*(1/U42)*(1/W42)</f>
        <v>4.6905696608477061E+18</v>
      </c>
      <c r="AL42" s="60">
        <f>$S42*(1/U42)*(1/W42)*(1/Y42)</f>
        <v>46905696608.477058</v>
      </c>
      <c r="AM42" s="60">
        <f>$S42*(1/U42)*(1/W42)*(1/Y42)*(1/AA42)</f>
        <v>4690569.6608477058</v>
      </c>
      <c r="AN42" s="5">
        <f>$S42*(1/U42)*(1/W42)*(1/Y42)*(1/AA42)*(1/AC42)</f>
        <v>4.6905696608477057E-2</v>
      </c>
      <c r="AQ42" s="60">
        <f>AI42</f>
        <v>4.6905696608477061E+21</v>
      </c>
      <c r="AR42" s="60">
        <f>AQ42*(1/V42)</f>
        <v>4.6905696608477061E+21</v>
      </c>
      <c r="AS42" s="60">
        <f>AR42*(1/X42)</f>
        <v>4.6905696608477061E+19</v>
      </c>
      <c r="AT42" s="60">
        <f>AS42*(1/Z42)</f>
        <v>4690569660847.7061</v>
      </c>
      <c r="AU42" s="60">
        <f>AT42*(1/AB42)</f>
        <v>4690569660.8477058</v>
      </c>
      <c r="AV42" s="60">
        <f>AU42*(1/AD42)</f>
        <v>4.6905696608477063</v>
      </c>
    </row>
    <row r="43" spans="2:48" ht="15.75" hidden="1" customHeight="1" x14ac:dyDescent="0.25">
      <c r="B43" s="6" t="s">
        <v>65</v>
      </c>
      <c r="C43" s="23">
        <v>54131</v>
      </c>
      <c r="D43" s="23"/>
      <c r="E43" s="25">
        <v>5.3956199999999997E-5</v>
      </c>
      <c r="F43" s="25"/>
      <c r="G43" s="25" t="s">
        <v>15</v>
      </c>
      <c r="H43" s="22" t="s">
        <v>15</v>
      </c>
      <c r="I43" s="20"/>
      <c r="J43" s="14"/>
      <c r="K43" s="17"/>
      <c r="L43" s="17"/>
      <c r="M43" s="12">
        <f t="shared" si="32"/>
        <v>0</v>
      </c>
      <c r="N43" s="8"/>
      <c r="O43" s="30">
        <f t="shared" si="33"/>
        <v>1.0000000000000001E-24</v>
      </c>
      <c r="P43" s="30">
        <f t="shared" si="31"/>
        <v>13978830.671413144</v>
      </c>
      <c r="Q43" s="10">
        <f t="shared" si="34"/>
        <v>5.3956199999999992E+19</v>
      </c>
      <c r="R43" s="10">
        <f t="shared" si="35"/>
        <v>7.5424458347290174E+26</v>
      </c>
      <c r="S43" s="10">
        <f t="shared" si="36"/>
        <v>0</v>
      </c>
      <c r="T43" s="10"/>
      <c r="U43" s="9">
        <v>0.01</v>
      </c>
      <c r="V43" s="9"/>
      <c r="W43" s="11">
        <v>0.999</v>
      </c>
      <c r="X43" s="11"/>
      <c r="Y43" s="11"/>
      <c r="Z43" s="11"/>
      <c r="AA43" s="11"/>
      <c r="AB43" s="11"/>
      <c r="AC43" s="11"/>
      <c r="AD43" s="11"/>
      <c r="AE43" s="43">
        <f t="shared" ref="AE43:AE67" si="37">S43*U43*(1-W43)</f>
        <v>0</v>
      </c>
      <c r="AF43" s="42"/>
      <c r="AG43" s="42"/>
    </row>
    <row r="44" spans="2:48" ht="15.75" hidden="1" customHeight="1" x14ac:dyDescent="0.25">
      <c r="B44" s="6" t="s">
        <v>66</v>
      </c>
      <c r="C44" s="23">
        <v>54132</v>
      </c>
      <c r="D44" s="23"/>
      <c r="E44" s="25">
        <v>1.3154900000000001E-4</v>
      </c>
      <c r="F44" s="25"/>
      <c r="G44" s="25" t="s">
        <v>15</v>
      </c>
      <c r="H44" s="22" t="s">
        <v>15</v>
      </c>
      <c r="I44" s="20"/>
      <c r="J44" s="14"/>
      <c r="K44" s="17"/>
      <c r="L44" s="17"/>
      <c r="M44" s="12">
        <f t="shared" si="32"/>
        <v>0</v>
      </c>
      <c r="N44" s="8"/>
      <c r="O44" s="30">
        <f t="shared" si="33"/>
        <v>1.0000000000000001E-24</v>
      </c>
      <c r="P44" s="30">
        <f t="shared" si="31"/>
        <v>13978830.671413144</v>
      </c>
      <c r="Q44" s="10">
        <f t="shared" si="34"/>
        <v>1.31549E+20</v>
      </c>
      <c r="R44" s="10">
        <f t="shared" si="35"/>
        <v>1.8389011959937278E+27</v>
      </c>
      <c r="S44" s="10">
        <f t="shared" si="36"/>
        <v>0</v>
      </c>
      <c r="T44" s="10"/>
      <c r="U44" s="9">
        <v>0.01</v>
      </c>
      <c r="V44" s="9"/>
      <c r="W44" s="11">
        <v>0.999</v>
      </c>
      <c r="X44" s="11"/>
      <c r="Y44" s="11"/>
      <c r="Z44" s="11"/>
      <c r="AA44" s="11"/>
      <c r="AB44" s="11"/>
      <c r="AC44" s="11"/>
      <c r="AD44" s="11"/>
      <c r="AE44" s="45">
        <f t="shared" si="37"/>
        <v>0</v>
      </c>
      <c r="AF44" s="42"/>
      <c r="AG44" s="42"/>
    </row>
    <row r="45" spans="2:48" ht="15.75" customHeight="1" x14ac:dyDescent="0.25">
      <c r="B45" s="6" t="s">
        <v>10</v>
      </c>
      <c r="C45" s="23">
        <v>92238</v>
      </c>
      <c r="D45" s="23" t="s">
        <v>242</v>
      </c>
      <c r="E45" s="25">
        <v>1.79355E-2</v>
      </c>
      <c r="F45" s="25" t="s">
        <v>224</v>
      </c>
      <c r="G45" s="25" t="s">
        <v>189</v>
      </c>
      <c r="H45" s="7" t="s">
        <v>135</v>
      </c>
      <c r="I45" s="21">
        <v>4468000000</v>
      </c>
      <c r="J45" s="14"/>
      <c r="K45" s="17"/>
      <c r="L45" s="17"/>
      <c r="M45" s="12">
        <f t="shared" si="32"/>
        <v>1.40902848E+17</v>
      </c>
      <c r="N45" s="12">
        <f>LN(2)/(M45)</f>
        <v>4.9193269717298071E-18</v>
      </c>
      <c r="O45" s="30">
        <f t="shared" si="33"/>
        <v>1.0000000000000001E-24</v>
      </c>
      <c r="P45" s="30">
        <f t="shared" si="31"/>
        <v>13978830.671413144</v>
      </c>
      <c r="Q45" s="10">
        <f t="shared" si="34"/>
        <v>1.7935499999999999E+22</v>
      </c>
      <c r="R45" s="10">
        <f t="shared" si="35"/>
        <v>2.5071731750713044E+29</v>
      </c>
      <c r="S45" s="57">
        <f t="shared" si="36"/>
        <v>1233360462292.5725</v>
      </c>
      <c r="T45" s="10" t="str">
        <f>D45</f>
        <v>Pu, Actinidos</v>
      </c>
      <c r="U45" s="63">
        <v>1</v>
      </c>
      <c r="V45" s="63">
        <v>1</v>
      </c>
      <c r="W45" s="64">
        <v>1000</v>
      </c>
      <c r="X45" s="64">
        <v>100</v>
      </c>
      <c r="Y45" s="64">
        <f>10^8</f>
        <v>100000000</v>
      </c>
      <c r="Z45" s="64">
        <f>10^7</f>
        <v>10000000</v>
      </c>
      <c r="AA45" s="64">
        <v>10000</v>
      </c>
      <c r="AB45" s="64">
        <v>1000</v>
      </c>
      <c r="AC45" s="111">
        <f>10^8</f>
        <v>100000000</v>
      </c>
      <c r="AD45" s="111">
        <f>10^9</f>
        <v>1000000000</v>
      </c>
      <c r="AE45" s="48">
        <f>$S45*(1/U45)*(1/W45)*(1/Y45)*(1/AA45)*(1/AC45)</f>
        <v>1.2333604622925725E-11</v>
      </c>
      <c r="AF45" s="48">
        <f>$S45*(1/V45)*(1/X45)*(1/Z45)*(1/AB45)*(1/AD45)</f>
        <v>1.2333604622925726E-9</v>
      </c>
      <c r="AG45" s="48" t="str">
        <f>B45</f>
        <v>U-238</v>
      </c>
      <c r="AI45" s="60">
        <f>$S45</f>
        <v>1233360462292.5725</v>
      </c>
      <c r="AJ45" s="60">
        <f>$S45*(1/U45)</f>
        <v>1233360462292.5725</v>
      </c>
      <c r="AK45" s="60">
        <f>$S45*(1/U45)*(1/W45)</f>
        <v>1233360462.2925725</v>
      </c>
      <c r="AL45" s="60">
        <f>$S45*(1/U45)*(1/W45)*(1/Y45)</f>
        <v>12.333604622925725</v>
      </c>
      <c r="AM45" s="60">
        <f>$S45*(1/U45)*(1/W45)*(1/Y45)*(1/AA45)</f>
        <v>1.2333604622925725E-3</v>
      </c>
      <c r="AN45" s="5">
        <f>$S45*(1/U45)*(1/W45)*(1/Y45)*(1/AA45)*(1/AC45)</f>
        <v>1.2333604622925725E-11</v>
      </c>
      <c r="AQ45" s="60">
        <f>AI45</f>
        <v>1233360462292.5725</v>
      </c>
      <c r="AR45" s="60">
        <f>AQ45*(1/V45)</f>
        <v>1233360462292.5725</v>
      </c>
      <c r="AS45" s="60">
        <f>AR45*(1/X45)</f>
        <v>12333604622.925726</v>
      </c>
      <c r="AT45" s="60">
        <f>AS45*(1/Z45)</f>
        <v>1233.3604622925725</v>
      </c>
      <c r="AU45" s="60">
        <f>AT45*(1/AB45)</f>
        <v>1.2333604622925725</v>
      </c>
      <c r="AV45" s="60">
        <f>AU45*(1/AD45)</f>
        <v>1.2333604622925726E-9</v>
      </c>
    </row>
    <row r="46" spans="2:48" ht="15.75" hidden="1" customHeight="1" x14ac:dyDescent="0.25">
      <c r="B46" s="6" t="s">
        <v>69</v>
      </c>
      <c r="C46" s="23">
        <v>54134</v>
      </c>
      <c r="D46" s="23"/>
      <c r="E46" s="25">
        <v>1.98858E-4</v>
      </c>
      <c r="F46" s="25"/>
      <c r="G46" s="25" t="s">
        <v>15</v>
      </c>
      <c r="H46" s="22" t="s">
        <v>15</v>
      </c>
      <c r="I46" s="20"/>
      <c r="J46" s="14"/>
      <c r="K46" s="17"/>
      <c r="L46" s="17"/>
      <c r="M46" s="12">
        <f t="shared" si="32"/>
        <v>0</v>
      </c>
      <c r="N46" s="8"/>
      <c r="O46" s="30">
        <f t="shared" si="33"/>
        <v>1.0000000000000001E-24</v>
      </c>
      <c r="P46" s="30">
        <f t="shared" si="31"/>
        <v>13978830.671413144</v>
      </c>
      <c r="Q46" s="10">
        <f t="shared" si="34"/>
        <v>1.9885799999999997E+20</v>
      </c>
      <c r="R46" s="10">
        <f t="shared" si="35"/>
        <v>2.7798023096558743E+27</v>
      </c>
      <c r="S46" s="10">
        <f t="shared" si="36"/>
        <v>0</v>
      </c>
      <c r="T46" s="10"/>
      <c r="U46" s="9">
        <v>0.01</v>
      </c>
      <c r="V46" s="9"/>
      <c r="W46" s="11">
        <v>0.999</v>
      </c>
      <c r="X46" s="11"/>
      <c r="Y46" s="11"/>
      <c r="Z46" s="11"/>
      <c r="AA46" s="11"/>
      <c r="AB46" s="11"/>
      <c r="AC46" s="11"/>
      <c r="AD46" s="11"/>
      <c r="AE46" s="46">
        <f t="shared" si="37"/>
        <v>0</v>
      </c>
      <c r="AF46" s="42"/>
      <c r="AG46" s="42"/>
    </row>
    <row r="47" spans="2:48" ht="15.75" customHeight="1" x14ac:dyDescent="0.25">
      <c r="B47" s="6" t="s">
        <v>136</v>
      </c>
      <c r="C47" s="23">
        <v>93237</v>
      </c>
      <c r="D47" s="23" t="s">
        <v>242</v>
      </c>
      <c r="E47" s="25">
        <v>3.07925E-5</v>
      </c>
      <c r="F47" s="25" t="s">
        <v>225</v>
      </c>
      <c r="G47" s="25" t="s">
        <v>190</v>
      </c>
      <c r="H47" s="6" t="s">
        <v>137</v>
      </c>
      <c r="I47" s="21"/>
      <c r="J47" s="14">
        <v>2.2999999999999998</v>
      </c>
      <c r="K47" s="17"/>
      <c r="L47" s="17"/>
      <c r="M47" s="12">
        <f t="shared" si="32"/>
        <v>198719.99999999997</v>
      </c>
      <c r="N47" s="12">
        <f>LN(2)/(M47)</f>
        <v>3.4880594834940889E-6</v>
      </c>
      <c r="O47" s="30">
        <f t="shared" si="33"/>
        <v>1.0000000000000001E-24</v>
      </c>
      <c r="P47" s="30">
        <f t="shared" si="31"/>
        <v>13978830.671413144</v>
      </c>
      <c r="Q47" s="10">
        <f t="shared" si="34"/>
        <v>3.0792499999999996E+19</v>
      </c>
      <c r="R47" s="10">
        <f t="shared" si="35"/>
        <v>4.3044314344948919E+26</v>
      </c>
      <c r="S47" s="57">
        <f t="shared" si="36"/>
        <v>1.5014112886139972E+21</v>
      </c>
      <c r="T47" s="10" t="str">
        <f>D47</f>
        <v>Pu, Actinidos</v>
      </c>
      <c r="U47" s="63">
        <v>1</v>
      </c>
      <c r="V47" s="63">
        <v>1</v>
      </c>
      <c r="W47" s="64">
        <v>1000</v>
      </c>
      <c r="X47" s="64">
        <v>100</v>
      </c>
      <c r="Y47" s="64">
        <f>10^8</f>
        <v>100000000</v>
      </c>
      <c r="Z47" s="64">
        <f>10^7</f>
        <v>10000000</v>
      </c>
      <c r="AA47" s="64">
        <v>10000</v>
      </c>
      <c r="AB47" s="64">
        <v>1000</v>
      </c>
      <c r="AC47" s="111">
        <f>10^8</f>
        <v>100000000</v>
      </c>
      <c r="AD47" s="111">
        <f>10^9</f>
        <v>1000000000</v>
      </c>
      <c r="AE47" s="48">
        <f>$S47*(1/U47)*(1/W47)*(1/Y47)*(1/AA47)*(1/AC47)</f>
        <v>1.5014112886139973E-2</v>
      </c>
      <c r="AF47" s="48">
        <f>$S47*(1/V47)*(1/X47)*(1/Z47)*(1/AB47)*(1/AD47)</f>
        <v>1.5014112886139976</v>
      </c>
      <c r="AG47" s="48" t="str">
        <f>B47</f>
        <v>Np-237</v>
      </c>
      <c r="AI47" s="60">
        <f>$S47</f>
        <v>1.5014112886139972E+21</v>
      </c>
      <c r="AJ47" s="60">
        <f>$S47*(1/U47)</f>
        <v>1.5014112886139972E+21</v>
      </c>
      <c r="AK47" s="60">
        <f>$S47*(1/U47)*(1/W47)</f>
        <v>1.5014112886139973E+18</v>
      </c>
      <c r="AL47" s="60">
        <f>$S47*(1/U47)*(1/W47)*(1/Y47)</f>
        <v>15014112886.139973</v>
      </c>
      <c r="AM47" s="60">
        <f>$S47*(1/U47)*(1/W47)*(1/Y47)*(1/AA47)</f>
        <v>1501411.2886139974</v>
      </c>
      <c r="AN47" s="5">
        <f>$S47*(1/U47)*(1/W47)*(1/Y47)*(1/AA47)*(1/AC47)</f>
        <v>1.5014112886139973E-2</v>
      </c>
      <c r="AQ47" s="60">
        <f>AI47</f>
        <v>1.5014112886139972E+21</v>
      </c>
      <c r="AR47" s="60">
        <f>AQ47*(1/V47)</f>
        <v>1.5014112886139972E+21</v>
      </c>
      <c r="AS47" s="60">
        <f>AR47*(1/X47)</f>
        <v>1.5014112886139974E+19</v>
      </c>
      <c r="AT47" s="60">
        <f>AS47*(1/Z47)</f>
        <v>1501411288613.9973</v>
      </c>
      <c r="AU47" s="60">
        <f>AT47*(1/AB47)</f>
        <v>1501411288.6139975</v>
      </c>
      <c r="AV47" s="60">
        <f>AU47*(1/AD47)</f>
        <v>1.5014112886139976</v>
      </c>
    </row>
    <row r="48" spans="2:48" ht="15.75" hidden="1" customHeight="1" x14ac:dyDescent="0.25">
      <c r="B48" s="6" t="s">
        <v>72</v>
      </c>
      <c r="C48" s="23">
        <v>54136</v>
      </c>
      <c r="D48" s="23"/>
      <c r="E48" s="25">
        <v>3.0783699999999999E-4</v>
      </c>
      <c r="F48" s="25"/>
      <c r="G48" s="25" t="s">
        <v>15</v>
      </c>
      <c r="H48" s="22" t="s">
        <v>15</v>
      </c>
      <c r="I48" s="20"/>
      <c r="J48" s="14"/>
      <c r="K48" s="17"/>
      <c r="L48" s="17"/>
      <c r="M48" s="12">
        <f t="shared" si="32"/>
        <v>0</v>
      </c>
      <c r="N48" s="8"/>
      <c r="O48" s="30">
        <f t="shared" si="33"/>
        <v>1.0000000000000001E-24</v>
      </c>
      <c r="P48" s="30">
        <f t="shared" si="31"/>
        <v>13978830.671413144</v>
      </c>
      <c r="Q48" s="10">
        <f t="shared" si="34"/>
        <v>3.0783699999999997E+20</v>
      </c>
      <c r="R48" s="10">
        <f t="shared" si="35"/>
        <v>4.3032012973958077E+27</v>
      </c>
      <c r="S48" s="10">
        <f t="shared" si="36"/>
        <v>0</v>
      </c>
      <c r="T48" s="10"/>
      <c r="U48" s="9">
        <v>0.01</v>
      </c>
      <c r="V48" s="9"/>
      <c r="W48" s="11">
        <v>0.999</v>
      </c>
      <c r="X48" s="11"/>
      <c r="Y48" s="11"/>
      <c r="Z48" s="11"/>
      <c r="AA48" s="11"/>
      <c r="AB48" s="11"/>
      <c r="AC48" s="11"/>
      <c r="AD48" s="11"/>
      <c r="AE48" s="43">
        <f t="shared" si="37"/>
        <v>0</v>
      </c>
      <c r="AF48" s="42"/>
      <c r="AG48" s="42"/>
    </row>
    <row r="49" spans="2:48" ht="15.75" hidden="1" customHeight="1" x14ac:dyDescent="0.25">
      <c r="B49" s="6" t="s">
        <v>73</v>
      </c>
      <c r="C49" s="23">
        <v>55133</v>
      </c>
      <c r="D49" s="23"/>
      <c r="E49" s="25">
        <v>1.42793E-4</v>
      </c>
      <c r="F49" s="25"/>
      <c r="G49" s="25" t="s">
        <v>15</v>
      </c>
      <c r="H49" s="22" t="s">
        <v>15</v>
      </c>
      <c r="I49" s="20"/>
      <c r="J49" s="14"/>
      <c r="K49" s="17"/>
      <c r="L49" s="17"/>
      <c r="M49" s="12">
        <f t="shared" si="32"/>
        <v>0</v>
      </c>
      <c r="N49" s="8"/>
      <c r="O49" s="30">
        <f t="shared" si="33"/>
        <v>1.0000000000000001E-24</v>
      </c>
      <c r="P49" s="30">
        <f t="shared" si="31"/>
        <v>13978830.671413144</v>
      </c>
      <c r="Q49" s="10">
        <f t="shared" si="34"/>
        <v>1.4279299999999998E+20</v>
      </c>
      <c r="R49" s="10">
        <f t="shared" si="35"/>
        <v>1.9960791680630969E+27</v>
      </c>
      <c r="S49" s="10">
        <f t="shared" si="36"/>
        <v>0</v>
      </c>
      <c r="T49" s="10"/>
      <c r="U49" s="9">
        <v>0.01</v>
      </c>
      <c r="V49" s="9"/>
      <c r="W49" s="11">
        <v>0.999</v>
      </c>
      <c r="X49" s="11"/>
      <c r="Y49" s="11"/>
      <c r="Z49" s="11"/>
      <c r="AA49" s="11"/>
      <c r="AB49" s="11"/>
      <c r="AC49" s="11"/>
      <c r="AD49" s="11"/>
      <c r="AE49" s="10">
        <f t="shared" si="37"/>
        <v>0</v>
      </c>
      <c r="AF49" s="42"/>
      <c r="AG49" s="42"/>
    </row>
    <row r="50" spans="2:48" ht="15.75" hidden="1" customHeight="1" x14ac:dyDescent="0.25">
      <c r="B50" s="6" t="s">
        <v>75</v>
      </c>
      <c r="C50" s="23">
        <v>55134</v>
      </c>
      <c r="D50" s="23"/>
      <c r="E50" s="25">
        <v>1.7268599999999999E-5</v>
      </c>
      <c r="F50" s="25" t="s">
        <v>215</v>
      </c>
      <c r="G50" s="25" t="s">
        <v>168</v>
      </c>
      <c r="H50" s="6" t="s">
        <v>74</v>
      </c>
      <c r="I50" s="20"/>
      <c r="J50" s="14"/>
      <c r="K50" s="17"/>
      <c r="L50" s="17"/>
      <c r="M50" s="12">
        <f t="shared" si="32"/>
        <v>0</v>
      </c>
      <c r="N50" s="8"/>
      <c r="O50" s="30">
        <f t="shared" si="33"/>
        <v>1.0000000000000001E-24</v>
      </c>
      <c r="P50" s="30">
        <f t="shared" si="31"/>
        <v>13978830.671413144</v>
      </c>
      <c r="Q50" s="10">
        <f t="shared" si="34"/>
        <v>1.7268599999999998E+19</v>
      </c>
      <c r="R50" s="10">
        <f t="shared" si="35"/>
        <v>2.4139483533236498E+26</v>
      </c>
      <c r="S50" s="10">
        <f t="shared" si="36"/>
        <v>0</v>
      </c>
      <c r="T50" s="10"/>
      <c r="U50" s="9">
        <v>0.01</v>
      </c>
      <c r="V50" s="9"/>
      <c r="W50" s="11">
        <v>0.999</v>
      </c>
      <c r="X50" s="11"/>
      <c r="Y50" s="11"/>
      <c r="Z50" s="11"/>
      <c r="AA50" s="11"/>
      <c r="AB50" s="11"/>
      <c r="AC50" s="11"/>
      <c r="AD50" s="11"/>
      <c r="AE50" s="45">
        <f t="shared" si="37"/>
        <v>0</v>
      </c>
      <c r="AF50" s="42"/>
      <c r="AG50" s="42"/>
    </row>
    <row r="51" spans="2:48" ht="15.75" customHeight="1" x14ac:dyDescent="0.25">
      <c r="B51" s="6" t="s">
        <v>138</v>
      </c>
      <c r="C51" s="23">
        <v>93239</v>
      </c>
      <c r="D51" s="23" t="s">
        <v>242</v>
      </c>
      <c r="E51" s="25">
        <v>1.7189499999999999E-5</v>
      </c>
      <c r="F51" s="25" t="s">
        <v>226</v>
      </c>
      <c r="G51" s="25" t="s">
        <v>191</v>
      </c>
      <c r="H51" s="7" t="s">
        <v>139</v>
      </c>
      <c r="I51" s="21"/>
      <c r="J51" s="14"/>
      <c r="K51" s="17"/>
      <c r="L51" s="17">
        <v>24.1</v>
      </c>
      <c r="M51" s="12">
        <f t="shared" si="32"/>
        <v>1446</v>
      </c>
      <c r="N51" s="12">
        <f>LN(2)/(M51)</f>
        <v>4.7935489665279756E-4</v>
      </c>
      <c r="O51" s="30">
        <f t="shared" si="33"/>
        <v>1.0000000000000001E-24</v>
      </c>
      <c r="P51" s="30">
        <f t="shared" si="31"/>
        <v>13978830.671413144</v>
      </c>
      <c r="Q51" s="10">
        <f t="shared" si="34"/>
        <v>1.7189499999999996E+19</v>
      </c>
      <c r="R51" s="10">
        <f t="shared" si="35"/>
        <v>2.402891098262562E+26</v>
      </c>
      <c r="S51" s="57">
        <f t="shared" si="36"/>
        <v>1.1518376140755776E+23</v>
      </c>
      <c r="T51" s="10" t="str">
        <f t="shared" ref="T51:T54" si="38">D51</f>
        <v>Pu, Actinidos</v>
      </c>
      <c r="U51" s="63">
        <v>1</v>
      </c>
      <c r="V51" s="63">
        <v>1</v>
      </c>
      <c r="W51" s="64">
        <v>1000</v>
      </c>
      <c r="X51" s="64">
        <v>100</v>
      </c>
      <c r="Y51" s="64">
        <f t="shared" ref="Y51:Y54" si="39">10^8</f>
        <v>100000000</v>
      </c>
      <c r="Z51" s="64">
        <f t="shared" ref="Z51:Z54" si="40">10^7</f>
        <v>10000000</v>
      </c>
      <c r="AA51" s="64">
        <v>10000</v>
      </c>
      <c r="AB51" s="64">
        <v>1000</v>
      </c>
      <c r="AC51" s="111">
        <f t="shared" ref="AC51:AC54" si="41">10^8</f>
        <v>100000000</v>
      </c>
      <c r="AD51" s="111">
        <f t="shared" ref="AD51:AD54" si="42">10^9</f>
        <v>1000000000</v>
      </c>
      <c r="AE51" s="48">
        <f t="shared" ref="AE51:AE54" si="43">$S51*(1/U51)*(1/W51)*(1/Y51)*(1/AA51)*(1/AC51)</f>
        <v>1.1518376140755777</v>
      </c>
      <c r="AF51" s="48">
        <f t="shared" ref="AF51:AF54" si="44">$S51*(1/V51)*(1/X51)*(1/Z51)*(1/AB51)*(1/AD51)</f>
        <v>115.18376140755778</v>
      </c>
      <c r="AG51" s="48" t="str">
        <f t="shared" ref="AG51:AG54" si="45">B51</f>
        <v>Np-239</v>
      </c>
      <c r="AI51" s="60">
        <f t="shared" ref="AI51:AI54" si="46">$S51</f>
        <v>1.1518376140755776E+23</v>
      </c>
      <c r="AJ51" s="60">
        <f t="shared" ref="AJ51:AJ54" si="47">$S51*(1/U51)</f>
        <v>1.1518376140755776E+23</v>
      </c>
      <c r="AK51" s="60">
        <f t="shared" ref="AK51:AK54" si="48">$S51*(1/U51)*(1/W51)</f>
        <v>1.1518376140755776E+20</v>
      </c>
      <c r="AL51" s="60">
        <f t="shared" ref="AL51:AL54" si="49">$S51*(1/U51)*(1/W51)*(1/Y51)</f>
        <v>1151837614075.5776</v>
      </c>
      <c r="AM51" s="60">
        <f t="shared" ref="AM51:AM54" si="50">$S51*(1/U51)*(1/W51)*(1/Y51)*(1/AA51)</f>
        <v>115183761.40755777</v>
      </c>
      <c r="AN51" s="5">
        <f t="shared" ref="AN51:AN54" si="51">$S51*(1/U51)*(1/W51)*(1/Y51)*(1/AA51)*(1/AC51)</f>
        <v>1.1518376140755777</v>
      </c>
      <c r="AQ51" s="60">
        <f t="shared" ref="AQ51:AQ54" si="52">AI51</f>
        <v>1.1518376140755776E+23</v>
      </c>
      <c r="AR51" s="60">
        <f t="shared" ref="AR51:AR54" si="53">AQ51*(1/V51)</f>
        <v>1.1518376140755776E+23</v>
      </c>
      <c r="AS51" s="60">
        <f t="shared" ref="AS51:AS54" si="54">AR51*(1/X51)</f>
        <v>1.1518376140755776E+21</v>
      </c>
      <c r="AT51" s="60">
        <f t="shared" ref="AT51:AT54" si="55">AS51*(1/Z51)</f>
        <v>115183761407557.77</v>
      </c>
      <c r="AU51" s="60">
        <f t="shared" ref="AU51:AU54" si="56">AT51*(1/AB51)</f>
        <v>115183761407.55777</v>
      </c>
      <c r="AV51" s="60">
        <f t="shared" ref="AV51:AV54" si="57">AU51*(1/AD51)</f>
        <v>115.18376140755778</v>
      </c>
    </row>
    <row r="52" spans="2:48" ht="15.75" customHeight="1" x14ac:dyDescent="0.25">
      <c r="B52" s="6" t="s">
        <v>140</v>
      </c>
      <c r="C52" s="23">
        <v>94238</v>
      </c>
      <c r="D52" s="23" t="s">
        <v>242</v>
      </c>
      <c r="E52" s="25">
        <v>8.2998699999999995E-6</v>
      </c>
      <c r="F52" s="25" t="s">
        <v>227</v>
      </c>
      <c r="G52" s="25" t="s">
        <v>192</v>
      </c>
      <c r="H52" s="7" t="s">
        <v>141</v>
      </c>
      <c r="I52" s="21">
        <v>87.7</v>
      </c>
      <c r="J52" s="14"/>
      <c r="K52" s="17"/>
      <c r="L52" s="17"/>
      <c r="M52" s="12">
        <f t="shared" si="32"/>
        <v>2765707200</v>
      </c>
      <c r="N52" s="12">
        <f>LN(2)/(M52)</f>
        <v>2.506220400192563E-10</v>
      </c>
      <c r="O52" s="30">
        <f t="shared" si="33"/>
        <v>1.0000000000000001E-24</v>
      </c>
      <c r="P52" s="30">
        <f t="shared" si="31"/>
        <v>13978830.671413144</v>
      </c>
      <c r="Q52" s="10">
        <f t="shared" si="34"/>
        <v>8.299869999999999E+18</v>
      </c>
      <c r="R52" s="10">
        <f t="shared" si="35"/>
        <v>1.160224773247418E+26</v>
      </c>
      <c r="S52" s="57">
        <f t="shared" si="36"/>
        <v>2.9077789955214696E+16</v>
      </c>
      <c r="T52" s="10" t="str">
        <f t="shared" si="38"/>
        <v>Pu, Actinidos</v>
      </c>
      <c r="U52" s="63">
        <v>1</v>
      </c>
      <c r="V52" s="63">
        <v>1</v>
      </c>
      <c r="W52" s="64">
        <v>1000</v>
      </c>
      <c r="X52" s="64">
        <v>100</v>
      </c>
      <c r="Y52" s="64">
        <f t="shared" si="39"/>
        <v>100000000</v>
      </c>
      <c r="Z52" s="64">
        <f t="shared" si="40"/>
        <v>10000000</v>
      </c>
      <c r="AA52" s="64">
        <v>10000</v>
      </c>
      <c r="AB52" s="64">
        <v>1000</v>
      </c>
      <c r="AC52" s="111">
        <f t="shared" si="41"/>
        <v>100000000</v>
      </c>
      <c r="AD52" s="111">
        <f t="shared" si="42"/>
        <v>1000000000</v>
      </c>
      <c r="AE52" s="48">
        <f t="shared" si="43"/>
        <v>2.9077789955214697E-7</v>
      </c>
      <c r="AF52" s="48">
        <f t="shared" si="44"/>
        <v>2.9077789955214699E-5</v>
      </c>
      <c r="AG52" s="48" t="str">
        <f t="shared" si="45"/>
        <v>Pu-238</v>
      </c>
      <c r="AI52" s="60">
        <f t="shared" si="46"/>
        <v>2.9077789955214696E+16</v>
      </c>
      <c r="AJ52" s="60">
        <f t="shared" si="47"/>
        <v>2.9077789955214696E+16</v>
      </c>
      <c r="AK52" s="60">
        <f t="shared" si="48"/>
        <v>29077789955214.695</v>
      </c>
      <c r="AL52" s="60">
        <f t="shared" si="49"/>
        <v>290777.89955214696</v>
      </c>
      <c r="AM52" s="60">
        <f t="shared" si="50"/>
        <v>29.077789955214698</v>
      </c>
      <c r="AN52" s="5">
        <f t="shared" si="51"/>
        <v>2.9077789955214697E-7</v>
      </c>
      <c r="AQ52" s="60">
        <f t="shared" si="52"/>
        <v>2.9077789955214696E+16</v>
      </c>
      <c r="AR52" s="60">
        <f t="shared" si="53"/>
        <v>2.9077789955214696E+16</v>
      </c>
      <c r="AS52" s="60">
        <f t="shared" si="54"/>
        <v>290777899552146.94</v>
      </c>
      <c r="AT52" s="60">
        <f t="shared" si="55"/>
        <v>29077789.955214694</v>
      </c>
      <c r="AU52" s="60">
        <f t="shared" si="56"/>
        <v>29077.789955214696</v>
      </c>
      <c r="AV52" s="60">
        <f t="shared" si="57"/>
        <v>2.9077789955214699E-5</v>
      </c>
    </row>
    <row r="53" spans="2:48" ht="15.75" customHeight="1" x14ac:dyDescent="0.25">
      <c r="B53" s="6" t="s">
        <v>142</v>
      </c>
      <c r="C53" s="23">
        <v>94239</v>
      </c>
      <c r="D53" s="23" t="s">
        <v>242</v>
      </c>
      <c r="E53" s="25">
        <v>2.5854699999999998E-4</v>
      </c>
      <c r="F53" s="25" t="s">
        <v>228</v>
      </c>
      <c r="G53" s="25" t="s">
        <v>193</v>
      </c>
      <c r="H53" s="7" t="s">
        <v>143</v>
      </c>
      <c r="I53" s="21">
        <v>24100</v>
      </c>
      <c r="J53" s="14"/>
      <c r="K53" s="17"/>
      <c r="L53" s="17"/>
      <c r="M53" s="12">
        <f t="shared" si="32"/>
        <v>760017600000</v>
      </c>
      <c r="N53" s="12">
        <f>LN(2)/(M53)</f>
        <v>9.1201464355555088E-13</v>
      </c>
      <c r="O53" s="30">
        <f t="shared" si="33"/>
        <v>1.0000000000000001E-24</v>
      </c>
      <c r="P53" s="30">
        <f t="shared" si="31"/>
        <v>13978830.671413144</v>
      </c>
      <c r="Q53" s="10">
        <f t="shared" si="34"/>
        <v>2.5854699999999993E+20</v>
      </c>
      <c r="R53" s="10">
        <f t="shared" si="35"/>
        <v>3.6141847336018531E+27</v>
      </c>
      <c r="S53" s="57">
        <f t="shared" si="36"/>
        <v>3296189401559807.5</v>
      </c>
      <c r="T53" s="10" t="str">
        <f t="shared" si="38"/>
        <v>Pu, Actinidos</v>
      </c>
      <c r="U53" s="63">
        <v>1</v>
      </c>
      <c r="V53" s="63">
        <v>1</v>
      </c>
      <c r="W53" s="64">
        <v>1000</v>
      </c>
      <c r="X53" s="64">
        <v>100</v>
      </c>
      <c r="Y53" s="64">
        <f t="shared" si="39"/>
        <v>100000000</v>
      </c>
      <c r="Z53" s="64">
        <f t="shared" si="40"/>
        <v>10000000</v>
      </c>
      <c r="AA53" s="64">
        <v>10000</v>
      </c>
      <c r="AB53" s="64">
        <v>1000</v>
      </c>
      <c r="AC53" s="111">
        <f t="shared" si="41"/>
        <v>100000000</v>
      </c>
      <c r="AD53" s="111">
        <f t="shared" si="42"/>
        <v>1000000000</v>
      </c>
      <c r="AE53" s="48">
        <f t="shared" si="43"/>
        <v>3.2961894015598079E-8</v>
      </c>
      <c r="AF53" s="48">
        <f t="shared" si="44"/>
        <v>3.2961894015598073E-6</v>
      </c>
      <c r="AG53" s="48" t="str">
        <f t="shared" si="45"/>
        <v>Pu-239</v>
      </c>
      <c r="AI53" s="60">
        <f t="shared" si="46"/>
        <v>3296189401559807.5</v>
      </c>
      <c r="AJ53" s="60">
        <f t="shared" si="47"/>
        <v>3296189401559807.5</v>
      </c>
      <c r="AK53" s="60">
        <f t="shared" si="48"/>
        <v>3296189401559.8076</v>
      </c>
      <c r="AL53" s="60">
        <f t="shared" si="49"/>
        <v>32961.894015598074</v>
      </c>
      <c r="AM53" s="60">
        <f t="shared" si="50"/>
        <v>3.2961894015598077</v>
      </c>
      <c r="AN53" s="5">
        <f t="shared" si="51"/>
        <v>3.2961894015598079E-8</v>
      </c>
      <c r="AQ53" s="60">
        <f t="shared" si="52"/>
        <v>3296189401559807.5</v>
      </c>
      <c r="AR53" s="60">
        <f t="shared" si="53"/>
        <v>3296189401559807.5</v>
      </c>
      <c r="AS53" s="60">
        <f t="shared" si="54"/>
        <v>32961894015598.074</v>
      </c>
      <c r="AT53" s="60">
        <f t="shared" si="55"/>
        <v>3296189.4015598074</v>
      </c>
      <c r="AU53" s="60">
        <f t="shared" si="56"/>
        <v>3296.1894015598073</v>
      </c>
      <c r="AV53" s="60">
        <f t="shared" si="57"/>
        <v>3.2961894015598073E-6</v>
      </c>
    </row>
    <row r="54" spans="2:48" ht="15.75" customHeight="1" x14ac:dyDescent="0.25">
      <c r="B54" s="6" t="s">
        <v>144</v>
      </c>
      <c r="C54" s="23">
        <v>94240</v>
      </c>
      <c r="D54" s="23" t="s">
        <v>242</v>
      </c>
      <c r="E54" s="25">
        <v>7.8549999999999998E-5</v>
      </c>
      <c r="F54" s="25" t="s">
        <v>229</v>
      </c>
      <c r="G54" s="25" t="s">
        <v>194</v>
      </c>
      <c r="H54" s="7" t="s">
        <v>145</v>
      </c>
      <c r="I54" s="21">
        <v>6560</v>
      </c>
      <c r="J54" s="14"/>
      <c r="K54" s="17"/>
      <c r="L54" s="17"/>
      <c r="M54" s="12">
        <f t="shared" si="32"/>
        <v>206876160000</v>
      </c>
      <c r="N54" s="12">
        <f>LN(2)/(M54)</f>
        <v>3.3505416020867037E-12</v>
      </c>
      <c r="O54" s="30">
        <f t="shared" si="33"/>
        <v>1.0000000000000001E-24</v>
      </c>
      <c r="P54" s="30">
        <f t="shared" si="31"/>
        <v>13978830.671413144</v>
      </c>
      <c r="Q54" s="10">
        <f t="shared" si="34"/>
        <v>7.8549999999999984E+19</v>
      </c>
      <c r="R54" s="10">
        <f t="shared" si="35"/>
        <v>1.0980371492395022E+27</v>
      </c>
      <c r="S54" s="57">
        <f t="shared" si="36"/>
        <v>3679019149163639</v>
      </c>
      <c r="T54" s="10" t="str">
        <f t="shared" si="38"/>
        <v>Pu, Actinidos</v>
      </c>
      <c r="U54" s="63">
        <v>1</v>
      </c>
      <c r="V54" s="63">
        <v>1</v>
      </c>
      <c r="W54" s="64">
        <v>1000</v>
      </c>
      <c r="X54" s="64">
        <v>100</v>
      </c>
      <c r="Y54" s="64">
        <f t="shared" si="39"/>
        <v>100000000</v>
      </c>
      <c r="Z54" s="64">
        <f t="shared" si="40"/>
        <v>10000000</v>
      </c>
      <c r="AA54" s="64">
        <v>10000</v>
      </c>
      <c r="AB54" s="64">
        <v>1000</v>
      </c>
      <c r="AC54" s="111">
        <f t="shared" si="41"/>
        <v>100000000</v>
      </c>
      <c r="AD54" s="111">
        <f t="shared" si="42"/>
        <v>1000000000</v>
      </c>
      <c r="AE54" s="48">
        <f t="shared" si="43"/>
        <v>3.679019149163639E-8</v>
      </c>
      <c r="AF54" s="48">
        <f t="shared" si="44"/>
        <v>3.6790191491636389E-6</v>
      </c>
      <c r="AG54" s="48" t="str">
        <f t="shared" si="45"/>
        <v>Pu-240</v>
      </c>
      <c r="AI54" s="60">
        <f t="shared" si="46"/>
        <v>3679019149163639</v>
      </c>
      <c r="AJ54" s="60">
        <f t="shared" si="47"/>
        <v>3679019149163639</v>
      </c>
      <c r="AK54" s="60">
        <f t="shared" si="48"/>
        <v>3679019149163.6392</v>
      </c>
      <c r="AL54" s="60">
        <f t="shared" si="49"/>
        <v>36790.191491636389</v>
      </c>
      <c r="AM54" s="60">
        <f t="shared" si="50"/>
        <v>3.679019149163639</v>
      </c>
      <c r="AN54" s="5">
        <f t="shared" si="51"/>
        <v>3.679019149163639E-8</v>
      </c>
      <c r="AQ54" s="60">
        <f t="shared" si="52"/>
        <v>3679019149163639</v>
      </c>
      <c r="AR54" s="60">
        <f t="shared" si="53"/>
        <v>3679019149163639</v>
      </c>
      <c r="AS54" s="60">
        <f t="shared" si="54"/>
        <v>36790191491636.391</v>
      </c>
      <c r="AT54" s="60">
        <f t="shared" si="55"/>
        <v>3679019.1491636387</v>
      </c>
      <c r="AU54" s="60">
        <f t="shared" si="56"/>
        <v>3679.0191491636388</v>
      </c>
      <c r="AV54" s="60">
        <f t="shared" si="57"/>
        <v>3.6790191491636389E-6</v>
      </c>
    </row>
    <row r="55" spans="2:48" ht="15.75" hidden="1" customHeight="1" x14ac:dyDescent="0.25">
      <c r="B55" s="6" t="s">
        <v>83</v>
      </c>
      <c r="C55" s="23">
        <v>57139</v>
      </c>
      <c r="D55" s="23"/>
      <c r="E55" s="25">
        <v>1.56365E-4</v>
      </c>
      <c r="F55" s="25"/>
      <c r="G55" s="25" t="s">
        <v>15</v>
      </c>
      <c r="H55" s="22" t="s">
        <v>15</v>
      </c>
      <c r="I55" s="20"/>
      <c r="J55" s="14"/>
      <c r="K55" s="17"/>
      <c r="L55" s="17"/>
      <c r="M55" s="12">
        <f t="shared" si="32"/>
        <v>0</v>
      </c>
      <c r="N55" s="8"/>
      <c r="O55" s="30">
        <f t="shared" si="33"/>
        <v>1.0000000000000001E-24</v>
      </c>
      <c r="P55" s="30">
        <f t="shared" si="31"/>
        <v>13978830.671413144</v>
      </c>
      <c r="Q55" s="10">
        <f t="shared" si="34"/>
        <v>1.5636499999999997E+20</v>
      </c>
      <c r="R55" s="10">
        <f t="shared" si="35"/>
        <v>2.1857998579355157E+27</v>
      </c>
      <c r="S55" s="10">
        <f t="shared" si="36"/>
        <v>0</v>
      </c>
      <c r="T55" s="10"/>
      <c r="U55" s="9">
        <v>0.01</v>
      </c>
      <c r="V55" s="9"/>
      <c r="W55" s="11">
        <v>0.999</v>
      </c>
      <c r="X55" s="11"/>
      <c r="Y55" s="11"/>
      <c r="Z55" s="11"/>
      <c r="AA55" s="11"/>
      <c r="AB55" s="11"/>
      <c r="AC55" s="11"/>
      <c r="AD55" s="11"/>
      <c r="AE55" s="46">
        <f t="shared" si="37"/>
        <v>0</v>
      </c>
      <c r="AF55" s="42"/>
      <c r="AG55" s="42"/>
    </row>
    <row r="56" spans="2:48" ht="15.75" customHeight="1" x14ac:dyDescent="0.25">
      <c r="B56" s="6" t="s">
        <v>146</v>
      </c>
      <c r="C56" s="23">
        <v>94241</v>
      </c>
      <c r="D56" s="23" t="s">
        <v>242</v>
      </c>
      <c r="E56" s="25">
        <v>7.8057499999999996E-5</v>
      </c>
      <c r="F56" s="25" t="s">
        <v>230</v>
      </c>
      <c r="G56" s="25" t="s">
        <v>195</v>
      </c>
      <c r="H56" s="7" t="s">
        <v>147</v>
      </c>
      <c r="I56" s="21">
        <v>14.3</v>
      </c>
      <c r="J56" s="14"/>
      <c r="K56" s="17"/>
      <c r="L56" s="17"/>
      <c r="M56" s="12">
        <f t="shared" si="32"/>
        <v>450964800</v>
      </c>
      <c r="N56" s="12">
        <f t="shared" ref="N56:N66" si="58">LN(2)/(M56)</f>
        <v>1.5370316720062083E-9</v>
      </c>
      <c r="O56" s="30">
        <f t="shared" si="33"/>
        <v>1.0000000000000001E-24</v>
      </c>
      <c r="P56" s="30">
        <f t="shared" si="31"/>
        <v>13978830.671413144</v>
      </c>
      <c r="Q56" s="10">
        <f t="shared" si="34"/>
        <v>7.8057499999999984E+19</v>
      </c>
      <c r="R56" s="10">
        <f t="shared" si="35"/>
        <v>1.0911525751338312E+27</v>
      </c>
      <c r="S56" s="57">
        <f t="shared" si="36"/>
        <v>1.6771360669718323E+18</v>
      </c>
      <c r="T56" s="10" t="str">
        <f t="shared" ref="T56:T66" si="59">D56</f>
        <v>Pu, Actinidos</v>
      </c>
      <c r="U56" s="63">
        <v>1</v>
      </c>
      <c r="V56" s="63">
        <v>1</v>
      </c>
      <c r="W56" s="64">
        <v>1000</v>
      </c>
      <c r="X56" s="64">
        <v>100</v>
      </c>
      <c r="Y56" s="64">
        <f t="shared" ref="Y56:Y59" si="60">10^8</f>
        <v>100000000</v>
      </c>
      <c r="Z56" s="64">
        <f t="shared" ref="Z56:Z59" si="61">10^7</f>
        <v>10000000</v>
      </c>
      <c r="AA56" s="64">
        <v>10000</v>
      </c>
      <c r="AB56" s="64">
        <v>1000</v>
      </c>
      <c r="AC56" s="111">
        <f t="shared" ref="AC56:AC65" si="62">10^8</f>
        <v>100000000</v>
      </c>
      <c r="AD56" s="111">
        <f t="shared" ref="AD56:AD65" si="63">10^9</f>
        <v>1000000000</v>
      </c>
      <c r="AE56" s="48">
        <f t="shared" ref="AE56:AE66" si="64">$S56*(1/U56)*(1/W56)*(1/Y56)*(1/AA56)*(1/AC56)</f>
        <v>1.6771360669718323E-5</v>
      </c>
      <c r="AF56" s="48">
        <f t="shared" ref="AF56:AF66" si="65">$S56*(1/V56)*(1/X56)*(1/Z56)*(1/AB56)*(1/AD56)</f>
        <v>1.6771360669718325E-3</v>
      </c>
      <c r="AG56" s="48" t="str">
        <f t="shared" ref="AG56:AG66" si="66">B56</f>
        <v>Pu-241</v>
      </c>
      <c r="AI56" s="60">
        <f t="shared" ref="AI56:AI65" si="67">$S56</f>
        <v>1.6771360669718323E+18</v>
      </c>
      <c r="AJ56" s="60">
        <f t="shared" ref="AJ56:AJ65" si="68">$S56*(1/U56)</f>
        <v>1.6771360669718323E+18</v>
      </c>
      <c r="AK56" s="60">
        <f t="shared" ref="AK56:AK65" si="69">$S56*(1/U56)*(1/W56)</f>
        <v>1677136066971832.3</v>
      </c>
      <c r="AL56" s="60">
        <f t="shared" ref="AL56:AL65" si="70">$S56*(1/U56)*(1/W56)*(1/Y56)</f>
        <v>16771360.669718323</v>
      </c>
      <c r="AM56" s="60">
        <f t="shared" ref="AM56:AM65" si="71">$S56*(1/U56)*(1/W56)*(1/Y56)*(1/AA56)</f>
        <v>1677.1360669718324</v>
      </c>
      <c r="AN56" s="5">
        <f t="shared" ref="AN56:AN65" si="72">$S56*(1/U56)*(1/W56)*(1/Y56)*(1/AA56)*(1/AC56)</f>
        <v>1.6771360669718323E-5</v>
      </c>
      <c r="AQ56" s="60">
        <f t="shared" ref="AQ56:AQ65" si="73">AI56</f>
        <v>1.6771360669718323E+18</v>
      </c>
      <c r="AR56" s="60">
        <f t="shared" ref="AR56:AR65" si="74">AQ56*(1/V56)</f>
        <v>1.6771360669718323E+18</v>
      </c>
      <c r="AS56" s="60">
        <f t="shared" ref="AS56:AS65" si="75">AR56*(1/X56)</f>
        <v>1.6771360669718324E+16</v>
      </c>
      <c r="AT56" s="60">
        <f t="shared" ref="AT56:AT65" si="76">AS56*(1/Z56)</f>
        <v>1677136066.9718323</v>
      </c>
      <c r="AU56" s="60">
        <f t="shared" ref="AU56:AU65" si="77">AT56*(1/AB56)</f>
        <v>1677136.0669718324</v>
      </c>
      <c r="AV56" s="60">
        <f t="shared" ref="AV56:AV65" si="78">AU56*(1/AD56)</f>
        <v>1.6771360669718325E-3</v>
      </c>
    </row>
    <row r="57" spans="2:48" ht="15.75" customHeight="1" x14ac:dyDescent="0.25">
      <c r="B57" s="6" t="s">
        <v>148</v>
      </c>
      <c r="C57" s="23">
        <v>94242</v>
      </c>
      <c r="D57" s="23" t="s">
        <v>242</v>
      </c>
      <c r="E57" s="25">
        <v>2.86215E-5</v>
      </c>
      <c r="F57" s="25" t="s">
        <v>231</v>
      </c>
      <c r="G57" s="25" t="s">
        <v>196</v>
      </c>
      <c r="H57" s="7" t="s">
        <v>149</v>
      </c>
      <c r="I57" s="21">
        <v>375000</v>
      </c>
      <c r="J57" s="14"/>
      <c r="K57" s="17"/>
      <c r="L57" s="17"/>
      <c r="M57" s="12">
        <f t="shared" si="32"/>
        <v>11826000000000</v>
      </c>
      <c r="N57" s="12">
        <f t="shared" si="58"/>
        <v>5.8612141092503409E-14</v>
      </c>
      <c r="O57" s="30">
        <f t="shared" si="33"/>
        <v>1.0000000000000001E-24</v>
      </c>
      <c r="P57" s="30">
        <f t="shared" si="31"/>
        <v>13978830.671413144</v>
      </c>
      <c r="Q57" s="10">
        <f t="shared" si="34"/>
        <v>2.8621499999999996E+19</v>
      </c>
      <c r="R57" s="10">
        <f t="shared" si="35"/>
        <v>4.0009510206185125E+26</v>
      </c>
      <c r="S57" s="57">
        <f t="shared" si="36"/>
        <v>23450430572468.777</v>
      </c>
      <c r="T57" s="10" t="str">
        <f t="shared" si="59"/>
        <v>Pu, Actinidos</v>
      </c>
      <c r="U57" s="63">
        <v>1</v>
      </c>
      <c r="V57" s="63">
        <v>1</v>
      </c>
      <c r="W57" s="64">
        <v>1000</v>
      </c>
      <c r="X57" s="64">
        <v>100</v>
      </c>
      <c r="Y57" s="64">
        <f t="shared" si="60"/>
        <v>100000000</v>
      </c>
      <c r="Z57" s="64">
        <f t="shared" si="61"/>
        <v>10000000</v>
      </c>
      <c r="AA57" s="64">
        <v>10000</v>
      </c>
      <c r="AB57" s="64">
        <v>1000</v>
      </c>
      <c r="AC57" s="111">
        <f t="shared" si="62"/>
        <v>100000000</v>
      </c>
      <c r="AD57" s="111">
        <f t="shared" si="63"/>
        <v>1000000000</v>
      </c>
      <c r="AE57" s="48">
        <f t="shared" si="64"/>
        <v>2.3450430572468778E-10</v>
      </c>
      <c r="AF57" s="48">
        <f t="shared" si="65"/>
        <v>2.3450430572468775E-8</v>
      </c>
      <c r="AG57" s="48" t="str">
        <f t="shared" si="66"/>
        <v>Pu-242</v>
      </c>
      <c r="AI57" s="60">
        <f t="shared" si="67"/>
        <v>23450430572468.777</v>
      </c>
      <c r="AJ57" s="60">
        <f t="shared" si="68"/>
        <v>23450430572468.777</v>
      </c>
      <c r="AK57" s="60">
        <f t="shared" si="69"/>
        <v>23450430572.468777</v>
      </c>
      <c r="AL57" s="60">
        <f t="shared" si="70"/>
        <v>234.50430572468778</v>
      </c>
      <c r="AM57" s="60">
        <f t="shared" si="71"/>
        <v>2.3450430572468779E-2</v>
      </c>
      <c r="AN57" s="5">
        <f t="shared" si="72"/>
        <v>2.3450430572468778E-10</v>
      </c>
      <c r="AQ57" s="60">
        <f t="shared" si="73"/>
        <v>23450430572468.777</v>
      </c>
      <c r="AR57" s="60">
        <f t="shared" si="74"/>
        <v>23450430572468.777</v>
      </c>
      <c r="AS57" s="60">
        <f t="shared" si="75"/>
        <v>234504305724.68777</v>
      </c>
      <c r="AT57" s="60">
        <f t="shared" si="76"/>
        <v>23450.430572468777</v>
      </c>
      <c r="AU57" s="60">
        <f t="shared" si="77"/>
        <v>23.450430572468775</v>
      </c>
      <c r="AV57" s="60">
        <f t="shared" si="78"/>
        <v>2.3450430572468775E-8</v>
      </c>
    </row>
    <row r="58" spans="2:48" ht="15.75" customHeight="1" x14ac:dyDescent="0.25">
      <c r="B58" s="6" t="s">
        <v>150</v>
      </c>
      <c r="C58" s="23">
        <v>95241</v>
      </c>
      <c r="D58" s="23" t="s">
        <v>242</v>
      </c>
      <c r="E58" s="25">
        <v>6.9777300000000001E-7</v>
      </c>
      <c r="F58" s="25" t="s">
        <v>232</v>
      </c>
      <c r="G58" s="25" t="s">
        <v>197</v>
      </c>
      <c r="H58" s="7" t="s">
        <v>151</v>
      </c>
      <c r="I58" s="21">
        <v>14.4</v>
      </c>
      <c r="J58" s="14"/>
      <c r="K58" s="17"/>
      <c r="L58" s="17"/>
      <c r="M58" s="12">
        <f t="shared" si="32"/>
        <v>454118400</v>
      </c>
      <c r="N58" s="12">
        <f t="shared" si="58"/>
        <v>1.5263578409506096E-9</v>
      </c>
      <c r="O58" s="30">
        <f t="shared" si="33"/>
        <v>1.0000000000000001E-24</v>
      </c>
      <c r="P58" s="30">
        <f t="shared" si="31"/>
        <v>13978830.671413144</v>
      </c>
      <c r="Q58" s="10">
        <f t="shared" si="34"/>
        <v>6.9777299999999987E+17</v>
      </c>
      <c r="R58" s="10">
        <f t="shared" si="35"/>
        <v>9.7540506140839612E+24</v>
      </c>
      <c r="S58" s="57">
        <f t="shared" si="36"/>
        <v>1.4888171635836162E+16</v>
      </c>
      <c r="T58" s="10" t="str">
        <f t="shared" si="59"/>
        <v>Pu, Actinidos</v>
      </c>
      <c r="U58" s="63">
        <v>1</v>
      </c>
      <c r="V58" s="63">
        <v>1</v>
      </c>
      <c r="W58" s="64">
        <v>1000</v>
      </c>
      <c r="X58" s="64">
        <v>100</v>
      </c>
      <c r="Y58" s="64">
        <f t="shared" si="60"/>
        <v>100000000</v>
      </c>
      <c r="Z58" s="64">
        <f t="shared" si="61"/>
        <v>10000000</v>
      </c>
      <c r="AA58" s="64">
        <v>10000</v>
      </c>
      <c r="AB58" s="64">
        <v>1000</v>
      </c>
      <c r="AC58" s="111">
        <f t="shared" si="62"/>
        <v>100000000</v>
      </c>
      <c r="AD58" s="111">
        <f t="shared" si="63"/>
        <v>1000000000</v>
      </c>
      <c r="AE58" s="48">
        <f t="shared" si="64"/>
        <v>1.4888171635836161E-7</v>
      </c>
      <c r="AF58" s="48">
        <f t="shared" si="65"/>
        <v>1.4888171635836164E-5</v>
      </c>
      <c r="AG58" s="48" t="str">
        <f t="shared" si="66"/>
        <v>Am-241</v>
      </c>
      <c r="AI58" s="60">
        <f t="shared" si="67"/>
        <v>1.4888171635836162E+16</v>
      </c>
      <c r="AJ58" s="60">
        <f t="shared" si="68"/>
        <v>1.4888171635836162E+16</v>
      </c>
      <c r="AK58" s="60">
        <f t="shared" si="69"/>
        <v>14888171635836.162</v>
      </c>
      <c r="AL58" s="60">
        <f t="shared" si="70"/>
        <v>148881.71635836162</v>
      </c>
      <c r="AM58" s="60">
        <f t="shared" si="71"/>
        <v>14.888171635836162</v>
      </c>
      <c r="AN58" s="5">
        <f t="shared" si="72"/>
        <v>1.4888171635836161E-7</v>
      </c>
      <c r="AQ58" s="60">
        <f t="shared" si="73"/>
        <v>1.4888171635836162E+16</v>
      </c>
      <c r="AR58" s="60">
        <f t="shared" si="74"/>
        <v>1.4888171635836162E+16</v>
      </c>
      <c r="AS58" s="60">
        <f t="shared" si="75"/>
        <v>148881716358361.63</v>
      </c>
      <c r="AT58" s="60">
        <f t="shared" si="76"/>
        <v>14888171.635836162</v>
      </c>
      <c r="AU58" s="60">
        <f t="shared" si="77"/>
        <v>14888.171635836163</v>
      </c>
      <c r="AV58" s="60">
        <f t="shared" si="78"/>
        <v>1.4888171635836164E-5</v>
      </c>
    </row>
    <row r="59" spans="2:48" ht="15.75" customHeight="1" x14ac:dyDescent="0.25">
      <c r="B59" s="6" t="s">
        <v>152</v>
      </c>
      <c r="C59" s="23">
        <v>95243</v>
      </c>
      <c r="D59" s="23" t="s">
        <v>242</v>
      </c>
      <c r="E59" s="25">
        <v>5.5396299999999998E-6</v>
      </c>
      <c r="F59" s="25" t="s">
        <v>233</v>
      </c>
      <c r="G59" s="25" t="s">
        <v>198</v>
      </c>
      <c r="H59" s="7" t="s">
        <v>153</v>
      </c>
      <c r="I59" s="21"/>
      <c r="J59" s="14"/>
      <c r="K59" s="17">
        <v>5</v>
      </c>
      <c r="L59" s="17"/>
      <c r="M59" s="12">
        <f t="shared" si="32"/>
        <v>18000</v>
      </c>
      <c r="N59" s="12">
        <f t="shared" si="58"/>
        <v>3.8508176697774737E-5</v>
      </c>
      <c r="O59" s="30">
        <f t="shared" si="33"/>
        <v>1.0000000000000001E-24</v>
      </c>
      <c r="P59" s="30">
        <f t="shared" si="31"/>
        <v>13978830.671413144</v>
      </c>
      <c r="Q59" s="10">
        <f t="shared" si="34"/>
        <v>5.539629999999999E+18</v>
      </c>
      <c r="R59" s="10">
        <f t="shared" si="35"/>
        <v>7.7437549752280374E+25</v>
      </c>
      <c r="S59" s="57">
        <f t="shared" si="36"/>
        <v>2.981978848903535E+21</v>
      </c>
      <c r="T59" s="10" t="str">
        <f t="shared" si="59"/>
        <v>Pu, Actinidos</v>
      </c>
      <c r="U59" s="63">
        <v>1</v>
      </c>
      <c r="V59" s="63">
        <v>1</v>
      </c>
      <c r="W59" s="64">
        <v>1000</v>
      </c>
      <c r="X59" s="64">
        <v>100</v>
      </c>
      <c r="Y59" s="64">
        <f t="shared" si="60"/>
        <v>100000000</v>
      </c>
      <c r="Z59" s="64">
        <f t="shared" si="61"/>
        <v>10000000</v>
      </c>
      <c r="AA59" s="64">
        <v>10000</v>
      </c>
      <c r="AB59" s="64">
        <v>1000</v>
      </c>
      <c r="AC59" s="111">
        <f t="shared" si="62"/>
        <v>100000000</v>
      </c>
      <c r="AD59" s="111">
        <f t="shared" si="63"/>
        <v>1000000000</v>
      </c>
      <c r="AE59" s="48">
        <f t="shared" si="64"/>
        <v>2.9819788489035354E-2</v>
      </c>
      <c r="AF59" s="48">
        <f t="shared" si="65"/>
        <v>2.9819788489035353</v>
      </c>
      <c r="AG59" s="48" t="str">
        <f t="shared" si="66"/>
        <v>Am-243</v>
      </c>
      <c r="AI59" s="60">
        <f t="shared" si="67"/>
        <v>2.981978848903535E+21</v>
      </c>
      <c r="AJ59" s="60">
        <f t="shared" si="68"/>
        <v>2.981978848903535E+21</v>
      </c>
      <c r="AK59" s="60">
        <f t="shared" si="69"/>
        <v>2.9819788489035351E+18</v>
      </c>
      <c r="AL59" s="60">
        <f t="shared" si="70"/>
        <v>29819788489.035351</v>
      </c>
      <c r="AM59" s="60">
        <f t="shared" si="71"/>
        <v>2981978.8489035354</v>
      </c>
      <c r="AN59" s="5">
        <f t="shared" si="72"/>
        <v>2.9819788489035354E-2</v>
      </c>
      <c r="AQ59" s="60">
        <f t="shared" si="73"/>
        <v>2.981978848903535E+21</v>
      </c>
      <c r="AR59" s="60">
        <f t="shared" si="74"/>
        <v>2.981978848903535E+21</v>
      </c>
      <c r="AS59" s="60">
        <f t="shared" si="75"/>
        <v>2.981978848903535E+19</v>
      </c>
      <c r="AT59" s="60">
        <f t="shared" si="76"/>
        <v>2981978848903.5347</v>
      </c>
      <c r="AU59" s="60">
        <f t="shared" si="77"/>
        <v>2981978848.9035349</v>
      </c>
      <c r="AV59" s="60">
        <f t="shared" si="78"/>
        <v>2.9819788489035353</v>
      </c>
    </row>
    <row r="60" spans="2:48" ht="15.75" customHeight="1" x14ac:dyDescent="0.25">
      <c r="B60" s="6" t="s">
        <v>8</v>
      </c>
      <c r="C60" s="23">
        <v>38089</v>
      </c>
      <c r="D60" s="23" t="s">
        <v>238</v>
      </c>
      <c r="E60" s="25">
        <v>2.33352E-5</v>
      </c>
      <c r="F60" s="25" t="s">
        <v>202</v>
      </c>
      <c r="G60" s="25" t="s">
        <v>159</v>
      </c>
      <c r="H60" s="6" t="s">
        <v>85</v>
      </c>
      <c r="I60" s="20"/>
      <c r="J60" s="16">
        <v>50.57</v>
      </c>
      <c r="K60" s="19"/>
      <c r="L60" s="19"/>
      <c r="M60" s="12">
        <f t="shared" si="32"/>
        <v>4369248</v>
      </c>
      <c r="N60" s="12">
        <f t="shared" si="58"/>
        <v>1.5864221498984385E-7</v>
      </c>
      <c r="O60" s="30">
        <f t="shared" si="33"/>
        <v>1.0000000000000001E-24</v>
      </c>
      <c r="P60" s="30">
        <f t="shared" si="31"/>
        <v>13978830.671413144</v>
      </c>
      <c r="Q60" s="10">
        <f t="shared" si="34"/>
        <v>2.3335199999999996E+19</v>
      </c>
      <c r="R60" s="10">
        <f t="shared" si="35"/>
        <v>3.2619880948355992E+26</v>
      </c>
      <c r="S60" s="57">
        <f t="shared" si="36"/>
        <v>5.174890166352203E+19</v>
      </c>
      <c r="T60" s="10" t="str">
        <f t="shared" si="59"/>
        <v>Sr, Ba, Eu</v>
      </c>
      <c r="U60" s="9">
        <v>1</v>
      </c>
      <c r="V60" s="9">
        <v>1</v>
      </c>
      <c r="W60" s="11">
        <v>50</v>
      </c>
      <c r="X60" s="11">
        <v>20</v>
      </c>
      <c r="Y60" s="11">
        <v>1000</v>
      </c>
      <c r="Z60" s="11">
        <v>200</v>
      </c>
      <c r="AA60" s="11">
        <v>1000</v>
      </c>
      <c r="AB60" s="11">
        <v>300</v>
      </c>
      <c r="AC60" s="112">
        <f t="shared" si="62"/>
        <v>100000000</v>
      </c>
      <c r="AD60" s="112">
        <f t="shared" si="63"/>
        <v>1000000000</v>
      </c>
      <c r="AE60" s="48">
        <f t="shared" si="64"/>
        <v>10349.780332704408</v>
      </c>
      <c r="AF60" s="48">
        <f t="shared" si="65"/>
        <v>43124.084719601698</v>
      </c>
      <c r="AG60" s="48" t="str">
        <f t="shared" si="66"/>
        <v>Sr-89</v>
      </c>
      <c r="AI60" s="60">
        <f t="shared" si="67"/>
        <v>5.174890166352203E+19</v>
      </c>
      <c r="AJ60" s="60">
        <f t="shared" si="68"/>
        <v>5.174890166352203E+19</v>
      </c>
      <c r="AK60" s="60">
        <f t="shared" si="69"/>
        <v>1.0349780332704406E+18</v>
      </c>
      <c r="AL60" s="60">
        <f t="shared" si="70"/>
        <v>1034978033270440.6</v>
      </c>
      <c r="AM60" s="60">
        <f t="shared" si="71"/>
        <v>1034978033270.4407</v>
      </c>
      <c r="AN60" s="5">
        <f t="shared" si="72"/>
        <v>10349.780332704408</v>
      </c>
      <c r="AQ60" s="60">
        <f t="shared" si="73"/>
        <v>5.174890166352203E+19</v>
      </c>
      <c r="AR60" s="60">
        <f t="shared" si="74"/>
        <v>5.174890166352203E+19</v>
      </c>
      <c r="AS60" s="60">
        <f t="shared" si="75"/>
        <v>2.5874450831761014E+18</v>
      </c>
      <c r="AT60" s="60">
        <f t="shared" si="76"/>
        <v>1.2937225415880508E+16</v>
      </c>
      <c r="AU60" s="60">
        <f t="shared" si="77"/>
        <v>43124084719601.695</v>
      </c>
      <c r="AV60" s="60">
        <f t="shared" si="78"/>
        <v>43124.084719601698</v>
      </c>
    </row>
    <row r="61" spans="2:48" ht="15.75" customHeight="1" x14ac:dyDescent="0.25">
      <c r="B61" s="6" t="s">
        <v>24</v>
      </c>
      <c r="C61" s="23">
        <v>38090</v>
      </c>
      <c r="D61" s="23" t="s">
        <v>238</v>
      </c>
      <c r="E61" s="25">
        <v>1.23058E-4</v>
      </c>
      <c r="F61" s="25" t="s">
        <v>204</v>
      </c>
      <c r="G61" s="25" t="s">
        <v>25</v>
      </c>
      <c r="H61" s="6" t="s">
        <v>25</v>
      </c>
      <c r="I61" s="20">
        <v>28.8</v>
      </c>
      <c r="J61" s="14"/>
      <c r="K61" s="17"/>
      <c r="L61" s="17"/>
      <c r="M61" s="12">
        <f t="shared" si="32"/>
        <v>908236800</v>
      </c>
      <c r="N61" s="12">
        <f t="shared" si="58"/>
        <v>7.631789204753048E-10</v>
      </c>
      <c r="O61" s="30">
        <f t="shared" si="33"/>
        <v>1.0000000000000001E-24</v>
      </c>
      <c r="P61" s="30">
        <f t="shared" si="31"/>
        <v>13978830.671413144</v>
      </c>
      <c r="Q61" s="10">
        <f t="shared" si="34"/>
        <v>1.2305799999999998E+20</v>
      </c>
      <c r="R61" s="10">
        <f t="shared" si="35"/>
        <v>1.7202069447627584E+27</v>
      </c>
      <c r="S61" s="57">
        <f t="shared" si="36"/>
        <v>1.3128256790981642E+18</v>
      </c>
      <c r="T61" s="10" t="str">
        <f t="shared" si="59"/>
        <v>Sr, Ba, Eu</v>
      </c>
      <c r="U61" s="9">
        <v>1</v>
      </c>
      <c r="V61" s="9">
        <v>1</v>
      </c>
      <c r="W61" s="11">
        <v>50</v>
      </c>
      <c r="X61" s="11">
        <v>20</v>
      </c>
      <c r="Y61" s="11">
        <v>1000</v>
      </c>
      <c r="Z61" s="11">
        <v>200</v>
      </c>
      <c r="AA61" s="11">
        <v>1000</v>
      </c>
      <c r="AB61" s="11">
        <v>300</v>
      </c>
      <c r="AC61" s="112">
        <f t="shared" si="62"/>
        <v>100000000</v>
      </c>
      <c r="AD61" s="112">
        <f t="shared" si="63"/>
        <v>1000000000</v>
      </c>
      <c r="AE61" s="48">
        <f t="shared" si="64"/>
        <v>262.56513581963287</v>
      </c>
      <c r="AF61" s="48">
        <f t="shared" si="65"/>
        <v>1094.0213992484705</v>
      </c>
      <c r="AG61" s="48" t="str">
        <f t="shared" si="66"/>
        <v>Sr-90</v>
      </c>
      <c r="AI61" s="60">
        <f t="shared" si="67"/>
        <v>1.3128256790981642E+18</v>
      </c>
      <c r="AJ61" s="60">
        <f t="shared" si="68"/>
        <v>1.3128256790981642E+18</v>
      </c>
      <c r="AK61" s="60">
        <f t="shared" si="69"/>
        <v>2.6256513581963284E+16</v>
      </c>
      <c r="AL61" s="60">
        <f t="shared" si="70"/>
        <v>26256513581963.285</v>
      </c>
      <c r="AM61" s="60">
        <f t="shared" si="71"/>
        <v>26256513581.963287</v>
      </c>
      <c r="AN61" s="5">
        <f t="shared" si="72"/>
        <v>262.56513581963287</v>
      </c>
      <c r="AQ61" s="60">
        <f t="shared" si="73"/>
        <v>1.3128256790981642E+18</v>
      </c>
      <c r="AR61" s="60">
        <f t="shared" si="74"/>
        <v>1.3128256790981642E+18</v>
      </c>
      <c r="AS61" s="60">
        <f t="shared" si="75"/>
        <v>6.5641283954908216E+16</v>
      </c>
      <c r="AT61" s="60">
        <f t="shared" si="76"/>
        <v>328206419774541.06</v>
      </c>
      <c r="AU61" s="60">
        <f t="shared" si="77"/>
        <v>1094021399248.4703</v>
      </c>
      <c r="AV61" s="60">
        <f t="shared" si="78"/>
        <v>1094.0213992484705</v>
      </c>
    </row>
    <row r="62" spans="2:48" ht="15.75" customHeight="1" x14ac:dyDescent="0.25">
      <c r="B62" s="6" t="s">
        <v>80</v>
      </c>
      <c r="C62" s="23">
        <v>56138</v>
      </c>
      <c r="D62" s="23" t="s">
        <v>238</v>
      </c>
      <c r="E62" s="25">
        <v>1.67617E-4</v>
      </c>
      <c r="F62" s="25"/>
      <c r="G62" s="25" t="s">
        <v>15</v>
      </c>
      <c r="H62" s="7" t="s">
        <v>155</v>
      </c>
      <c r="I62" s="13">
        <f>30.018</f>
        <v>30.018000000000001</v>
      </c>
      <c r="J62" s="14"/>
      <c r="K62" s="17"/>
      <c r="L62" s="17"/>
      <c r="M62" s="12">
        <f t="shared" si="32"/>
        <v>946647648</v>
      </c>
      <c r="N62" s="12">
        <f t="shared" si="58"/>
        <v>7.3221243619457587E-10</v>
      </c>
      <c r="O62" s="30">
        <f t="shared" si="33"/>
        <v>1.0000000000000001E-24</v>
      </c>
      <c r="P62" s="30">
        <f t="shared" si="31"/>
        <v>13978830.671413144</v>
      </c>
      <c r="Q62" s="10">
        <f t="shared" si="34"/>
        <v>1.67617E+20</v>
      </c>
      <c r="R62" s="10">
        <f t="shared" si="35"/>
        <v>2.3430896606502569E+27</v>
      </c>
      <c r="S62" s="57">
        <f t="shared" si="36"/>
        <v>1.7156393886470467E+18</v>
      </c>
      <c r="T62" s="10" t="str">
        <f t="shared" si="59"/>
        <v>Sr, Ba, Eu</v>
      </c>
      <c r="U62" s="9">
        <v>1</v>
      </c>
      <c r="V62" s="9">
        <v>1</v>
      </c>
      <c r="W62" s="11">
        <v>50</v>
      </c>
      <c r="X62" s="11">
        <v>20</v>
      </c>
      <c r="Y62" s="11">
        <v>1000</v>
      </c>
      <c r="Z62" s="11">
        <v>200</v>
      </c>
      <c r="AA62" s="11">
        <v>1000</v>
      </c>
      <c r="AB62" s="11">
        <v>300</v>
      </c>
      <c r="AC62" s="112">
        <f t="shared" si="62"/>
        <v>100000000</v>
      </c>
      <c r="AD62" s="112">
        <f t="shared" si="63"/>
        <v>1000000000</v>
      </c>
      <c r="AE62" s="48">
        <f t="shared" si="64"/>
        <v>343.12787772940936</v>
      </c>
      <c r="AF62" s="48">
        <f t="shared" si="65"/>
        <v>1429.699490539206</v>
      </c>
      <c r="AG62" s="48" t="str">
        <f t="shared" si="66"/>
        <v>Ba-138</v>
      </c>
      <c r="AI62" s="60">
        <f t="shared" si="67"/>
        <v>1.7156393886470467E+18</v>
      </c>
      <c r="AJ62" s="60">
        <f t="shared" si="68"/>
        <v>1.7156393886470467E+18</v>
      </c>
      <c r="AK62" s="60">
        <f t="shared" si="69"/>
        <v>3.4312787772940932E+16</v>
      </c>
      <c r="AL62" s="60">
        <f t="shared" si="70"/>
        <v>34312787772940.934</v>
      </c>
      <c r="AM62" s="60">
        <f t="shared" si="71"/>
        <v>34312787772.940933</v>
      </c>
      <c r="AN62" s="5">
        <f t="shared" si="72"/>
        <v>343.12787772940936</v>
      </c>
      <c r="AQ62" s="60">
        <f t="shared" si="73"/>
        <v>1.7156393886470467E+18</v>
      </c>
      <c r="AR62" s="60">
        <f t="shared" si="74"/>
        <v>1.7156393886470467E+18</v>
      </c>
      <c r="AS62" s="60">
        <f t="shared" si="75"/>
        <v>8.5781969432352336E+16</v>
      </c>
      <c r="AT62" s="60">
        <f t="shared" si="76"/>
        <v>428909847161761.69</v>
      </c>
      <c r="AU62" s="60">
        <f t="shared" si="77"/>
        <v>1429699490539.2058</v>
      </c>
      <c r="AV62" s="60">
        <f t="shared" si="78"/>
        <v>1429.699490539206</v>
      </c>
    </row>
    <row r="63" spans="2:48" ht="15.75" customHeight="1" x14ac:dyDescent="0.25">
      <c r="B63" s="6" t="s">
        <v>82</v>
      </c>
      <c r="C63" s="23">
        <v>56140</v>
      </c>
      <c r="D63" s="23" t="s">
        <v>238</v>
      </c>
      <c r="E63" s="25">
        <v>1.10185E-5</v>
      </c>
      <c r="F63" s="25" t="s">
        <v>218</v>
      </c>
      <c r="G63" s="25" t="s">
        <v>170</v>
      </c>
      <c r="H63" s="7" t="s">
        <v>81</v>
      </c>
      <c r="I63" s="13"/>
      <c r="J63" s="14">
        <v>12.75</v>
      </c>
      <c r="K63" s="17"/>
      <c r="L63" s="17"/>
      <c r="M63" s="12">
        <f t="shared" si="32"/>
        <v>1101600</v>
      </c>
      <c r="N63" s="12">
        <f t="shared" si="58"/>
        <v>6.2921857349305129E-7</v>
      </c>
      <c r="O63" s="30">
        <f t="shared" si="33"/>
        <v>1.0000000000000001E-24</v>
      </c>
      <c r="P63" s="30">
        <f t="shared" si="31"/>
        <v>13978830.671413144</v>
      </c>
      <c r="Q63" s="10">
        <f t="shared" si="34"/>
        <v>1.1018499999999998E+19</v>
      </c>
      <c r="R63" s="10">
        <f t="shared" si="35"/>
        <v>1.540257457529657E+26</v>
      </c>
      <c r="S63" s="57">
        <f t="shared" si="36"/>
        <v>9.6915860023884481E+19</v>
      </c>
      <c r="T63" s="10" t="str">
        <f t="shared" si="59"/>
        <v>Sr, Ba, Eu</v>
      </c>
      <c r="U63" s="9">
        <v>1</v>
      </c>
      <c r="V63" s="9">
        <v>1</v>
      </c>
      <c r="W63" s="11">
        <v>50</v>
      </c>
      <c r="X63" s="11">
        <v>20</v>
      </c>
      <c r="Y63" s="11">
        <v>1000</v>
      </c>
      <c r="Z63" s="11">
        <v>200</v>
      </c>
      <c r="AA63" s="11">
        <v>1000</v>
      </c>
      <c r="AB63" s="11">
        <v>300</v>
      </c>
      <c r="AC63" s="112">
        <f t="shared" si="62"/>
        <v>100000000</v>
      </c>
      <c r="AD63" s="112">
        <f t="shared" si="63"/>
        <v>1000000000</v>
      </c>
      <c r="AE63" s="48">
        <f t="shared" si="64"/>
        <v>19383.172004776898</v>
      </c>
      <c r="AF63" s="48">
        <f t="shared" si="65"/>
        <v>80763.21668657042</v>
      </c>
      <c r="AG63" s="48" t="str">
        <f t="shared" si="66"/>
        <v>Ba-140</v>
      </c>
      <c r="AI63" s="60">
        <f t="shared" si="67"/>
        <v>9.6915860023884481E+19</v>
      </c>
      <c r="AJ63" s="60">
        <f t="shared" si="68"/>
        <v>9.6915860023884481E+19</v>
      </c>
      <c r="AK63" s="60">
        <f t="shared" si="69"/>
        <v>1.9383172004776896E+18</v>
      </c>
      <c r="AL63" s="60">
        <f t="shared" si="70"/>
        <v>1938317200477689.8</v>
      </c>
      <c r="AM63" s="60">
        <f t="shared" si="71"/>
        <v>1938317200477.6897</v>
      </c>
      <c r="AN63" s="5">
        <f t="shared" si="72"/>
        <v>19383.172004776898</v>
      </c>
      <c r="AQ63" s="60">
        <f t="shared" si="73"/>
        <v>9.6915860023884481E+19</v>
      </c>
      <c r="AR63" s="60">
        <f t="shared" si="74"/>
        <v>9.6915860023884481E+19</v>
      </c>
      <c r="AS63" s="60">
        <f t="shared" si="75"/>
        <v>4.8457930011942246E+18</v>
      </c>
      <c r="AT63" s="60">
        <f t="shared" si="76"/>
        <v>2.4228965005971124E+16</v>
      </c>
      <c r="AU63" s="60">
        <f t="shared" si="77"/>
        <v>80763216686570.422</v>
      </c>
      <c r="AV63" s="60">
        <f t="shared" si="78"/>
        <v>80763.21668657042</v>
      </c>
    </row>
    <row r="64" spans="2:48" ht="15.75" customHeight="1" x14ac:dyDescent="0.25">
      <c r="B64" s="6" t="s">
        <v>111</v>
      </c>
      <c r="C64" s="23">
        <v>61147</v>
      </c>
      <c r="D64" s="23" t="s">
        <v>238</v>
      </c>
      <c r="E64" s="25">
        <v>2.5349499999999998E-5</v>
      </c>
      <c r="F64" s="25"/>
      <c r="G64" s="25" t="s">
        <v>178</v>
      </c>
      <c r="H64" s="7" t="s">
        <v>112</v>
      </c>
      <c r="I64" s="21"/>
      <c r="J64" s="14"/>
      <c r="K64" s="17">
        <v>1.6</v>
      </c>
      <c r="L64" s="17"/>
      <c r="M64" s="12">
        <f t="shared" si="32"/>
        <v>5760</v>
      </c>
      <c r="N64" s="12">
        <f t="shared" si="58"/>
        <v>1.2033805218054606E-4</v>
      </c>
      <c r="O64" s="30">
        <f t="shared" si="33"/>
        <v>1.0000000000000001E-24</v>
      </c>
      <c r="P64" s="30">
        <f t="shared" si="31"/>
        <v>13978830.671413144</v>
      </c>
      <c r="Q64" s="10">
        <f t="shared" si="34"/>
        <v>2.5349499999999996E+19</v>
      </c>
      <c r="R64" s="10">
        <f t="shared" si="35"/>
        <v>3.5435636810498741E+26</v>
      </c>
      <c r="S64" s="57">
        <f t="shared" si="36"/>
        <v>4.2642555115526762E+22</v>
      </c>
      <c r="T64" s="10" t="str">
        <f t="shared" si="59"/>
        <v>Sr, Ba, Eu</v>
      </c>
      <c r="U64" s="9">
        <v>1</v>
      </c>
      <c r="V64" s="9">
        <v>1</v>
      </c>
      <c r="W64" s="11">
        <v>50</v>
      </c>
      <c r="X64" s="11">
        <v>20</v>
      </c>
      <c r="Y64" s="11">
        <v>1000</v>
      </c>
      <c r="Z64" s="11">
        <v>200</v>
      </c>
      <c r="AA64" s="11">
        <v>1000</v>
      </c>
      <c r="AB64" s="11">
        <v>300</v>
      </c>
      <c r="AC64" s="112">
        <f t="shared" si="62"/>
        <v>100000000</v>
      </c>
      <c r="AD64" s="112">
        <f t="shared" si="63"/>
        <v>1000000000</v>
      </c>
      <c r="AE64" s="48">
        <f t="shared" si="64"/>
        <v>8528511.0231053531</v>
      </c>
      <c r="AF64" s="48">
        <f t="shared" si="65"/>
        <v>35535462.596272312</v>
      </c>
      <c r="AG64" s="48" t="str">
        <f t="shared" si="66"/>
        <v>Eu-147</v>
      </c>
      <c r="AI64" s="60">
        <f t="shared" si="67"/>
        <v>4.2642555115526762E+22</v>
      </c>
      <c r="AJ64" s="60">
        <f t="shared" si="68"/>
        <v>4.2642555115526762E+22</v>
      </c>
      <c r="AK64" s="60">
        <f t="shared" si="69"/>
        <v>8.5285110231053527E+20</v>
      </c>
      <c r="AL64" s="60">
        <f t="shared" si="70"/>
        <v>8.528511023105353E+17</v>
      </c>
      <c r="AM64" s="60">
        <f t="shared" si="71"/>
        <v>852851102310535.38</v>
      </c>
      <c r="AN64" s="5">
        <f t="shared" si="72"/>
        <v>8528511.0231053531</v>
      </c>
      <c r="AQ64" s="60">
        <f t="shared" si="73"/>
        <v>4.2642555115526762E+22</v>
      </c>
      <c r="AR64" s="60">
        <f t="shared" si="74"/>
        <v>4.2642555115526762E+22</v>
      </c>
      <c r="AS64" s="60">
        <f t="shared" si="75"/>
        <v>2.1321277557763382E+21</v>
      </c>
      <c r="AT64" s="60">
        <f t="shared" si="76"/>
        <v>1.0660638778881692E+19</v>
      </c>
      <c r="AU64" s="60">
        <f t="shared" si="77"/>
        <v>3.5535462596272308E+16</v>
      </c>
      <c r="AV64" s="60">
        <f t="shared" si="78"/>
        <v>35535462.596272312</v>
      </c>
    </row>
    <row r="65" spans="2:48" ht="15.75" customHeight="1" x14ac:dyDescent="0.25">
      <c r="B65" s="6" t="s">
        <v>113</v>
      </c>
      <c r="C65" s="23">
        <v>61149</v>
      </c>
      <c r="D65" s="23" t="s">
        <v>238</v>
      </c>
      <c r="E65" s="25">
        <v>3.5030800000000002E-7</v>
      </c>
      <c r="F65" s="25"/>
      <c r="G65" s="25" t="s">
        <v>179</v>
      </c>
      <c r="H65" s="7" t="s">
        <v>114</v>
      </c>
      <c r="I65" s="21"/>
      <c r="J65" s="14"/>
      <c r="K65" s="17"/>
      <c r="L65" s="17">
        <v>2</v>
      </c>
      <c r="M65" s="12">
        <f t="shared" si="32"/>
        <v>120</v>
      </c>
      <c r="N65" s="12">
        <f t="shared" si="58"/>
        <v>5.7762265046662105E-3</v>
      </c>
      <c r="O65" s="30">
        <f t="shared" si="33"/>
        <v>1.0000000000000001E-24</v>
      </c>
      <c r="P65" s="30">
        <f t="shared" si="31"/>
        <v>13978830.671413144</v>
      </c>
      <c r="Q65" s="10">
        <f t="shared" si="34"/>
        <v>3.50308E+17</v>
      </c>
      <c r="R65" s="10">
        <f t="shared" si="35"/>
        <v>4.8968962148413956E+24</v>
      </c>
      <c r="S65" s="57">
        <f t="shared" si="36"/>
        <v>2.8285581706766513E+22</v>
      </c>
      <c r="T65" s="45" t="str">
        <f t="shared" si="59"/>
        <v>Sr, Ba, Eu</v>
      </c>
      <c r="U65" s="54">
        <v>1</v>
      </c>
      <c r="V65" s="9">
        <v>1</v>
      </c>
      <c r="W65" s="11">
        <v>50</v>
      </c>
      <c r="X65" s="11">
        <v>20</v>
      </c>
      <c r="Y65" s="11">
        <v>1000</v>
      </c>
      <c r="Z65" s="11">
        <v>200</v>
      </c>
      <c r="AA65" s="11">
        <v>1000</v>
      </c>
      <c r="AB65" s="11">
        <v>300</v>
      </c>
      <c r="AC65" s="112">
        <f t="shared" si="62"/>
        <v>100000000</v>
      </c>
      <c r="AD65" s="112">
        <f t="shared" si="63"/>
        <v>1000000000</v>
      </c>
      <c r="AE65" s="48">
        <f t="shared" si="64"/>
        <v>5657116.3413533028</v>
      </c>
      <c r="AF65" s="48">
        <f t="shared" si="65"/>
        <v>23571318.088972103</v>
      </c>
      <c r="AG65" s="48" t="str">
        <f t="shared" si="66"/>
        <v>Eu-149</v>
      </c>
      <c r="AI65" s="60">
        <f t="shared" si="67"/>
        <v>2.8285581706766513E+22</v>
      </c>
      <c r="AJ65" s="60">
        <f t="shared" si="68"/>
        <v>2.8285581706766513E+22</v>
      </c>
      <c r="AK65" s="60">
        <f t="shared" si="69"/>
        <v>5.6571163413533026E+20</v>
      </c>
      <c r="AL65" s="60">
        <f t="shared" si="70"/>
        <v>5.6571163413533024E+17</v>
      </c>
      <c r="AM65" s="60">
        <f t="shared" si="71"/>
        <v>565711634135330.25</v>
      </c>
      <c r="AN65" s="5">
        <f t="shared" si="72"/>
        <v>5657116.3413533028</v>
      </c>
      <c r="AQ65" s="60">
        <f t="shared" si="73"/>
        <v>2.8285581706766513E+22</v>
      </c>
      <c r="AR65" s="60">
        <f t="shared" si="74"/>
        <v>2.8285581706766513E+22</v>
      </c>
      <c r="AS65" s="60">
        <f t="shared" si="75"/>
        <v>1.4142790853383257E+21</v>
      </c>
      <c r="AT65" s="60">
        <f t="shared" si="76"/>
        <v>7.0713954266916291E+18</v>
      </c>
      <c r="AU65" s="60">
        <f t="shared" si="77"/>
        <v>2.35713180889721E+16</v>
      </c>
      <c r="AV65" s="60">
        <f t="shared" si="78"/>
        <v>23571318.088972103</v>
      </c>
    </row>
    <row r="66" spans="2:48" ht="15.75" customHeight="1" x14ac:dyDescent="0.25">
      <c r="B66" s="6" t="s">
        <v>27</v>
      </c>
      <c r="C66" s="23">
        <v>39091</v>
      </c>
      <c r="D66" s="23" t="s">
        <v>244</v>
      </c>
      <c r="E66" s="25">
        <v>3.2934300000000001E-5</v>
      </c>
      <c r="F66" s="25" t="s">
        <v>205</v>
      </c>
      <c r="G66" s="25" t="s">
        <v>160</v>
      </c>
      <c r="H66" s="6" t="s">
        <v>28</v>
      </c>
      <c r="I66" s="20"/>
      <c r="J66" s="14">
        <v>58.8</v>
      </c>
      <c r="K66" s="17"/>
      <c r="L66" s="17"/>
      <c r="M66" s="12">
        <f t="shared" si="32"/>
        <v>5080319.9999999991</v>
      </c>
      <c r="N66" s="12">
        <f t="shared" si="58"/>
        <v>1.3643770088497287E-7</v>
      </c>
      <c r="O66" s="30">
        <f t="shared" si="33"/>
        <v>1.0000000000000001E-24</v>
      </c>
      <c r="P66" s="30">
        <f t="shared" si="31"/>
        <v>13978830.671413144</v>
      </c>
      <c r="Q66" s="10">
        <f t="shared" si="34"/>
        <v>3.2934299999999996E+19</v>
      </c>
      <c r="R66" s="10">
        <f t="shared" si="35"/>
        <v>4.6038300298152188E+26</v>
      </c>
      <c r="S66" s="58">
        <f t="shared" si="36"/>
        <v>6.2813598453318451E+19</v>
      </c>
      <c r="T66" s="47" t="str">
        <f t="shared" si="59"/>
        <v>Isot elem trans</v>
      </c>
      <c r="U66" s="56"/>
      <c r="V66" s="53"/>
      <c r="W66" s="11"/>
      <c r="X66" s="11"/>
      <c r="Y66" s="11"/>
      <c r="Z66" s="11"/>
      <c r="AA66" s="11"/>
      <c r="AB66" s="11"/>
      <c r="AC66" s="11"/>
      <c r="AD66" s="44"/>
      <c r="AE66" s="48" t="e">
        <f t="shared" si="64"/>
        <v>#DIV/0!</v>
      </c>
      <c r="AF66" s="48" t="e">
        <f t="shared" si="65"/>
        <v>#DIV/0!</v>
      </c>
      <c r="AG66" s="48" t="str">
        <f t="shared" si="66"/>
        <v>Y-91</v>
      </c>
    </row>
    <row r="67" spans="2:48" ht="15.75" hidden="1" customHeight="1" x14ac:dyDescent="0.25">
      <c r="B67" s="6" t="s">
        <v>108</v>
      </c>
      <c r="C67" s="23">
        <v>60148</v>
      </c>
      <c r="D67" s="23"/>
      <c r="E67" s="25">
        <v>4.40869E-5</v>
      </c>
      <c r="F67" s="25"/>
      <c r="G67" s="25" t="s">
        <v>15</v>
      </c>
      <c r="H67" s="22" t="s">
        <v>15</v>
      </c>
      <c r="I67" s="21"/>
      <c r="J67" s="14"/>
      <c r="K67" s="17"/>
      <c r="L67" s="17"/>
      <c r="M67" s="12">
        <f t="shared" si="32"/>
        <v>0</v>
      </c>
      <c r="N67" s="8"/>
      <c r="O67" s="30">
        <f t="shared" si="33"/>
        <v>1.0000000000000001E-24</v>
      </c>
      <c r="P67" s="30">
        <f t="shared" si="31"/>
        <v>13978830.671413144</v>
      </c>
      <c r="Q67" s="10">
        <f t="shared" si="34"/>
        <v>4.4086899999999992E+19</v>
      </c>
      <c r="R67" s="10">
        <f t="shared" si="35"/>
        <v>6.1628330992752402E+26</v>
      </c>
      <c r="S67" s="10">
        <f t="shared" si="36"/>
        <v>0</v>
      </c>
      <c r="T67" s="46"/>
      <c r="U67" s="55">
        <v>0.01</v>
      </c>
      <c r="V67" s="9"/>
      <c r="W67" s="11">
        <v>0.999</v>
      </c>
      <c r="X67" s="11"/>
      <c r="Y67" s="11"/>
      <c r="Z67" s="11"/>
      <c r="AA67" s="11"/>
      <c r="AB67" s="11"/>
      <c r="AC67" s="11"/>
      <c r="AD67" s="11"/>
      <c r="AE67" s="46">
        <f t="shared" si="37"/>
        <v>0</v>
      </c>
      <c r="AF67" s="42"/>
      <c r="AG67" s="42"/>
    </row>
    <row r="68" spans="2:48" ht="15.75" customHeight="1" x14ac:dyDescent="0.25">
      <c r="B68" s="6" t="s">
        <v>31</v>
      </c>
      <c r="C68" s="23">
        <v>40093</v>
      </c>
      <c r="D68" s="23" t="s">
        <v>244</v>
      </c>
      <c r="E68" s="25">
        <v>1.4352599999999999E-4</v>
      </c>
      <c r="F68" s="25" t="s">
        <v>206</v>
      </c>
      <c r="G68" s="25" t="s">
        <v>161</v>
      </c>
      <c r="H68" s="7" t="s">
        <v>32</v>
      </c>
      <c r="I68" s="13">
        <v>1530000</v>
      </c>
      <c r="J68" s="14"/>
      <c r="K68" s="17"/>
      <c r="L68" s="17"/>
      <c r="M68" s="12">
        <f t="shared" si="32"/>
        <v>48250080000000</v>
      </c>
      <c r="N68" s="12">
        <f t="shared" ref="N68:N78" si="79">LN(2)/(M68)</f>
        <v>1.4365720856005735E-14</v>
      </c>
      <c r="O68" s="30">
        <f t="shared" si="33"/>
        <v>1.0000000000000001E-24</v>
      </c>
      <c r="P68" s="30">
        <f t="shared" ref="P68:P92" si="80">PI()*$K$97^2*$K$98</f>
        <v>13978830.671413144</v>
      </c>
      <c r="Q68" s="10">
        <f t="shared" si="34"/>
        <v>1.4352599999999998E+20</v>
      </c>
      <c r="R68" s="10">
        <f t="shared" si="35"/>
        <v>2.0063256509452426E+27</v>
      </c>
      <c r="S68" s="58">
        <f t="shared" si="36"/>
        <v>28822314247723.355</v>
      </c>
      <c r="T68" s="47" t="str">
        <f t="shared" ref="T68:T78" si="81">D68</f>
        <v>Isot elem trans</v>
      </c>
      <c r="U68" s="56"/>
      <c r="V68" s="53"/>
      <c r="W68" s="11"/>
      <c r="X68" s="11"/>
      <c r="Y68" s="11"/>
      <c r="Z68" s="11"/>
      <c r="AA68" s="11"/>
      <c r="AB68" s="11"/>
      <c r="AC68" s="11"/>
      <c r="AD68" s="44"/>
      <c r="AE68" s="48" t="e">
        <f t="shared" ref="AE68:AE78" si="82">$S68*(1/U68)*(1/W68)*(1/Y68)*(1/AA68)*(1/AC68)</f>
        <v>#DIV/0!</v>
      </c>
      <c r="AF68" s="48" t="e">
        <f t="shared" ref="AF68:AF78" si="83">$S68*(1/V68)*(1/X68)*(1/Z68)*(1/AB68)*(1/AD68)</f>
        <v>#DIV/0!</v>
      </c>
      <c r="AG68" s="48" t="str">
        <f t="shared" ref="AG68:AG78" si="84">B68</f>
        <v>Zr-93</v>
      </c>
    </row>
    <row r="69" spans="2:48" ht="15.75" customHeight="1" x14ac:dyDescent="0.25">
      <c r="B69" s="6" t="s">
        <v>34</v>
      </c>
      <c r="C69" s="23">
        <v>40095</v>
      </c>
      <c r="D69" s="23" t="s">
        <v>244</v>
      </c>
      <c r="E69" s="25">
        <v>4.3505399999999999E-5</v>
      </c>
      <c r="F69" s="25" t="s">
        <v>207</v>
      </c>
      <c r="G69" s="25" t="s">
        <v>35</v>
      </c>
      <c r="H69" s="7" t="s">
        <v>35</v>
      </c>
      <c r="I69" s="13"/>
      <c r="J69" s="14">
        <v>64.02</v>
      </c>
      <c r="K69" s="17"/>
      <c r="L69" s="17"/>
      <c r="M69" s="12">
        <f t="shared" si="32"/>
        <v>5531328</v>
      </c>
      <c r="N69" s="12">
        <f t="shared" si="79"/>
        <v>1.2531297738263673E-7</v>
      </c>
      <c r="O69" s="30">
        <f t="shared" si="33"/>
        <v>1.0000000000000001E-24</v>
      </c>
      <c r="P69" s="30">
        <f t="shared" si="80"/>
        <v>13978830.671413144</v>
      </c>
      <c r="Q69" s="10">
        <f t="shared" si="34"/>
        <v>4.3505399999999992E+19</v>
      </c>
      <c r="R69" s="10">
        <f t="shared" si="35"/>
        <v>6.081546198920973E+26</v>
      </c>
      <c r="S69" s="58">
        <f t="shared" si="36"/>
        <v>7.620966612768442E+19</v>
      </c>
      <c r="T69" s="47" t="str">
        <f t="shared" si="81"/>
        <v>Isot elem trans</v>
      </c>
      <c r="U69" s="56"/>
      <c r="V69" s="53"/>
      <c r="W69" s="11"/>
      <c r="X69" s="11"/>
      <c r="Y69" s="11"/>
      <c r="Z69" s="11"/>
      <c r="AA69" s="11"/>
      <c r="AB69" s="11"/>
      <c r="AC69" s="11"/>
      <c r="AD69" s="44"/>
      <c r="AE69" s="48" t="e">
        <f t="shared" si="82"/>
        <v>#DIV/0!</v>
      </c>
      <c r="AF69" s="48" t="e">
        <f t="shared" si="83"/>
        <v>#DIV/0!</v>
      </c>
      <c r="AG69" s="48" t="str">
        <f t="shared" si="84"/>
        <v>Zr-95</v>
      </c>
    </row>
    <row r="70" spans="2:48" ht="15.75" customHeight="1" x14ac:dyDescent="0.25">
      <c r="B70" s="6" t="s">
        <v>37</v>
      </c>
      <c r="C70" s="23">
        <v>41095</v>
      </c>
      <c r="D70" s="23" t="s">
        <v>244</v>
      </c>
      <c r="E70" s="25">
        <v>2.02169E-5</v>
      </c>
      <c r="F70" s="25" t="s">
        <v>208</v>
      </c>
      <c r="G70" s="25" t="s">
        <v>162</v>
      </c>
      <c r="H70" s="6" t="s">
        <v>38</v>
      </c>
      <c r="I70" s="20"/>
      <c r="J70" s="14">
        <v>35</v>
      </c>
      <c r="K70" s="17"/>
      <c r="L70" s="17"/>
      <c r="M70" s="12">
        <f t="shared" si="32"/>
        <v>3024000</v>
      </c>
      <c r="N70" s="12">
        <f t="shared" si="79"/>
        <v>2.292153374867544E-7</v>
      </c>
      <c r="O70" s="30">
        <f t="shared" si="33"/>
        <v>1.0000000000000001E-24</v>
      </c>
      <c r="P70" s="30">
        <f t="shared" si="80"/>
        <v>13978830.671413144</v>
      </c>
      <c r="Q70" s="10">
        <f t="shared" si="34"/>
        <v>2.0216899999999996E+19</v>
      </c>
      <c r="R70" s="10">
        <f t="shared" si="35"/>
        <v>2.8260862180089234E+26</v>
      </c>
      <c r="S70" s="58">
        <f t="shared" si="36"/>
        <v>6.4778230622758076E+19</v>
      </c>
      <c r="T70" s="47" t="str">
        <f t="shared" si="81"/>
        <v>Isot elem trans</v>
      </c>
      <c r="U70" s="56"/>
      <c r="V70" s="53"/>
      <c r="W70" s="11"/>
      <c r="X70" s="11"/>
      <c r="Y70" s="11"/>
      <c r="Z70" s="11"/>
      <c r="AA70" s="11"/>
      <c r="AB70" s="11"/>
      <c r="AC70" s="11"/>
      <c r="AD70" s="44"/>
      <c r="AE70" s="48" t="e">
        <f t="shared" si="82"/>
        <v>#DIV/0!</v>
      </c>
      <c r="AF70" s="48" t="e">
        <f t="shared" si="83"/>
        <v>#DIV/0!</v>
      </c>
      <c r="AG70" s="48" t="str">
        <f t="shared" si="84"/>
        <v>Nb-95</v>
      </c>
    </row>
    <row r="71" spans="2:48" ht="15.75" customHeight="1" x14ac:dyDescent="0.25">
      <c r="B71" s="6" t="s">
        <v>87</v>
      </c>
      <c r="C71" s="23">
        <v>58140</v>
      </c>
      <c r="D71" s="23" t="s">
        <v>245</v>
      </c>
      <c r="E71" s="25">
        <v>1.4146499999999999E-4</v>
      </c>
      <c r="F71" s="25"/>
      <c r="G71" s="25" t="s">
        <v>171</v>
      </c>
      <c r="H71" s="7" t="s">
        <v>88</v>
      </c>
      <c r="I71" s="21"/>
      <c r="J71" s="14"/>
      <c r="K71" s="17"/>
      <c r="L71" s="17">
        <v>1.1000000000000001</v>
      </c>
      <c r="M71" s="12">
        <f t="shared" si="32"/>
        <v>66</v>
      </c>
      <c r="N71" s="12">
        <f t="shared" si="79"/>
        <v>1.050223000848402E-2</v>
      </c>
      <c r="O71" s="30">
        <f t="shared" si="33"/>
        <v>1.0000000000000001E-24</v>
      </c>
      <c r="P71" s="30">
        <f t="shared" si="80"/>
        <v>13978830.671413144</v>
      </c>
      <c r="Q71" s="10">
        <f t="shared" si="34"/>
        <v>1.4146499999999997E+20</v>
      </c>
      <c r="R71" s="10">
        <f t="shared" si="35"/>
        <v>1.9775152809314599E+27</v>
      </c>
      <c r="S71" s="58">
        <f t="shared" si="36"/>
        <v>2.0768320325634084E+25</v>
      </c>
      <c r="T71" s="47" t="str">
        <f t="shared" si="81"/>
        <v>Isot tierras raras</v>
      </c>
      <c r="U71" s="56"/>
      <c r="V71" s="53"/>
      <c r="W71" s="11"/>
      <c r="X71" s="11"/>
      <c r="Y71" s="11"/>
      <c r="Z71" s="11"/>
      <c r="AA71" s="11"/>
      <c r="AB71" s="11"/>
      <c r="AC71" s="11"/>
      <c r="AD71" s="44"/>
      <c r="AE71" s="48" t="e">
        <f t="shared" si="82"/>
        <v>#DIV/0!</v>
      </c>
      <c r="AF71" s="48" t="e">
        <f t="shared" si="83"/>
        <v>#DIV/0!</v>
      </c>
      <c r="AG71" s="48" t="str">
        <f t="shared" si="84"/>
        <v>Sm-140</v>
      </c>
    </row>
    <row r="72" spans="2:48" ht="15.75" customHeight="1" x14ac:dyDescent="0.25">
      <c r="B72" s="6" t="s">
        <v>89</v>
      </c>
      <c r="C72" s="23">
        <v>58141</v>
      </c>
      <c r="D72" s="23" t="s">
        <v>245</v>
      </c>
      <c r="E72" s="25">
        <v>2.3359599999999999E-5</v>
      </c>
      <c r="F72" s="25"/>
      <c r="G72" s="25" t="s">
        <v>172</v>
      </c>
      <c r="H72" s="7" t="s">
        <v>90</v>
      </c>
      <c r="I72" s="21"/>
      <c r="J72" s="14"/>
      <c r="K72" s="17"/>
      <c r="L72" s="17">
        <v>9.9</v>
      </c>
      <c r="M72" s="12">
        <f t="shared" si="32"/>
        <v>594</v>
      </c>
      <c r="N72" s="12">
        <f t="shared" si="79"/>
        <v>1.1669144453871133E-3</v>
      </c>
      <c r="O72" s="30">
        <f t="shared" si="33"/>
        <v>1.0000000000000001E-24</v>
      </c>
      <c r="P72" s="30">
        <f t="shared" si="80"/>
        <v>13978830.671413144</v>
      </c>
      <c r="Q72" s="10">
        <f t="shared" si="34"/>
        <v>2.3359599999999996E+19</v>
      </c>
      <c r="R72" s="10">
        <f t="shared" si="35"/>
        <v>3.2653989295194245E+26</v>
      </c>
      <c r="S72" s="58">
        <f t="shared" si="36"/>
        <v>3.8104411808078329E+23</v>
      </c>
      <c r="T72" s="47" t="str">
        <f t="shared" si="81"/>
        <v>Isot tierras raras</v>
      </c>
      <c r="U72" s="56"/>
      <c r="V72" s="53"/>
      <c r="W72" s="11"/>
      <c r="X72" s="11"/>
      <c r="Y72" s="11"/>
      <c r="Z72" s="11"/>
      <c r="AA72" s="11"/>
      <c r="AB72" s="11"/>
      <c r="AC72" s="11"/>
      <c r="AD72" s="44"/>
      <c r="AE72" s="48" t="e">
        <f t="shared" si="82"/>
        <v>#DIV/0!</v>
      </c>
      <c r="AF72" s="48" t="e">
        <f t="shared" si="83"/>
        <v>#DIV/0!</v>
      </c>
      <c r="AG72" s="48" t="str">
        <f t="shared" si="84"/>
        <v>Sm-141</v>
      </c>
    </row>
    <row r="73" spans="2:48" ht="15.75" customHeight="1" x14ac:dyDescent="0.25">
      <c r="B73" s="6" t="s">
        <v>91</v>
      </c>
      <c r="C73" s="23">
        <v>58142</v>
      </c>
      <c r="D73" s="23" t="s">
        <v>245</v>
      </c>
      <c r="E73" s="25">
        <v>1.4424899999999999E-4</v>
      </c>
      <c r="F73" s="25"/>
      <c r="G73" s="25" t="s">
        <v>15</v>
      </c>
      <c r="H73" s="7" t="s">
        <v>92</v>
      </c>
      <c r="I73" s="21"/>
      <c r="J73" s="14"/>
      <c r="K73" s="17"/>
      <c r="L73" s="17">
        <v>1</v>
      </c>
      <c r="M73" s="12">
        <f t="shared" si="32"/>
        <v>60</v>
      </c>
      <c r="N73" s="12">
        <f t="shared" si="79"/>
        <v>1.1552453009332421E-2</v>
      </c>
      <c r="O73" s="30">
        <f t="shared" si="33"/>
        <v>1.0000000000000001E-24</v>
      </c>
      <c r="P73" s="30">
        <f t="shared" si="80"/>
        <v>13978830.671413144</v>
      </c>
      <c r="Q73" s="10">
        <f t="shared" si="34"/>
        <v>1.4424899999999998E+20</v>
      </c>
      <c r="R73" s="10">
        <f t="shared" si="35"/>
        <v>2.0164323455206745E+27</v>
      </c>
      <c r="S73" s="58">
        <f t="shared" si="36"/>
        <v>2.329473991812555E+25</v>
      </c>
      <c r="T73" s="47" t="str">
        <f t="shared" si="81"/>
        <v>Isot tierras raras</v>
      </c>
      <c r="U73" s="56"/>
      <c r="V73" s="53"/>
      <c r="W73" s="11"/>
      <c r="X73" s="11"/>
      <c r="Y73" s="11"/>
      <c r="Z73" s="11"/>
      <c r="AA73" s="11"/>
      <c r="AB73" s="11"/>
      <c r="AC73" s="11"/>
      <c r="AD73" s="44"/>
      <c r="AE73" s="48" t="e">
        <f t="shared" si="82"/>
        <v>#DIV/0!</v>
      </c>
      <c r="AF73" s="48" t="e">
        <f t="shared" si="83"/>
        <v>#DIV/0!</v>
      </c>
      <c r="AG73" s="48" t="str">
        <f t="shared" si="84"/>
        <v>Sm-142</v>
      </c>
    </row>
    <row r="74" spans="2:48" ht="15.75" customHeight="1" x14ac:dyDescent="0.25">
      <c r="B74" s="6" t="s">
        <v>93</v>
      </c>
      <c r="C74" s="23">
        <v>58144</v>
      </c>
      <c r="D74" s="23" t="s">
        <v>245</v>
      </c>
      <c r="E74" s="25">
        <v>8.6627900000000005E-5</v>
      </c>
      <c r="F74" s="25"/>
      <c r="G74" s="25" t="s">
        <v>173</v>
      </c>
      <c r="H74" s="7" t="s">
        <v>94</v>
      </c>
      <c r="I74" s="21"/>
      <c r="J74" s="14"/>
      <c r="K74" s="17">
        <v>1.5</v>
      </c>
      <c r="L74" s="17"/>
      <c r="M74" s="12">
        <f t="shared" ref="M74:M92" si="85">J74*24*3600+I74*365*24*3600+K74*3600+L74*60</f>
        <v>5400</v>
      </c>
      <c r="N74" s="12">
        <f t="shared" si="79"/>
        <v>1.2836058899258246E-4</v>
      </c>
      <c r="O74" s="30">
        <f t="shared" ref="O74:O92" si="86">10^-24</f>
        <v>1.0000000000000001E-24</v>
      </c>
      <c r="P74" s="30">
        <f t="shared" si="80"/>
        <v>13978830.671413144</v>
      </c>
      <c r="Q74" s="10">
        <f t="shared" ref="Q74:Q92" si="87">E74/O74</f>
        <v>8.66279E+19</v>
      </c>
      <c r="R74" s="10">
        <f t="shared" ref="R74:R92" si="88">Q74*P74</f>
        <v>1.2109567455201107E+27</v>
      </c>
      <c r="S74" s="58">
        <f t="shared" ref="S74:S92" si="89">R74*N74</f>
        <v>1.5543912109950219E+23</v>
      </c>
      <c r="T74" s="47" t="str">
        <f t="shared" si="81"/>
        <v>Isot tierras raras</v>
      </c>
      <c r="U74" s="56"/>
      <c r="V74" s="53"/>
      <c r="W74" s="11"/>
      <c r="X74" s="11"/>
      <c r="Y74" s="11"/>
      <c r="Z74" s="11"/>
      <c r="AA74" s="11"/>
      <c r="AB74" s="11"/>
      <c r="AC74" s="11"/>
      <c r="AD74" s="44"/>
      <c r="AE74" s="48" t="e">
        <f t="shared" si="82"/>
        <v>#DIV/0!</v>
      </c>
      <c r="AF74" s="48" t="e">
        <f t="shared" si="83"/>
        <v>#DIV/0!</v>
      </c>
      <c r="AG74" s="48" t="str">
        <f t="shared" si="84"/>
        <v>Sm-144</v>
      </c>
    </row>
    <row r="75" spans="2:48" ht="15.75" customHeight="1" x14ac:dyDescent="0.25">
      <c r="B75" s="6" t="s">
        <v>95</v>
      </c>
      <c r="C75" s="23">
        <v>59141</v>
      </c>
      <c r="D75" s="23" t="s">
        <v>245</v>
      </c>
      <c r="E75" s="25">
        <v>1.16698E-4</v>
      </c>
      <c r="F75" s="25"/>
      <c r="G75" s="25" t="s">
        <v>174</v>
      </c>
      <c r="H75" s="7" t="s">
        <v>96</v>
      </c>
      <c r="I75" s="21"/>
      <c r="J75" s="14"/>
      <c r="K75" s="17"/>
      <c r="L75" s="17">
        <v>2.6</v>
      </c>
      <c r="M75" s="12">
        <f t="shared" si="85"/>
        <v>156</v>
      </c>
      <c r="N75" s="12">
        <f t="shared" si="79"/>
        <v>4.4432511574355469E-3</v>
      </c>
      <c r="O75" s="30">
        <f t="shared" si="86"/>
        <v>1.0000000000000001E-24</v>
      </c>
      <c r="P75" s="30">
        <f t="shared" si="80"/>
        <v>13978830.671413144</v>
      </c>
      <c r="Q75" s="10">
        <f t="shared" si="87"/>
        <v>1.1669799999999998E+20</v>
      </c>
      <c r="R75" s="10">
        <f t="shared" si="88"/>
        <v>1.6313015816925707E+27</v>
      </c>
      <c r="S75" s="58">
        <f t="shared" si="89"/>
        <v>7.2482826409819534E+24</v>
      </c>
      <c r="T75" s="47" t="str">
        <f t="shared" si="81"/>
        <v>Isot tierras raras</v>
      </c>
      <c r="U75" s="56"/>
      <c r="V75" s="53"/>
      <c r="W75" s="11"/>
      <c r="X75" s="11"/>
      <c r="Y75" s="11"/>
      <c r="Z75" s="11"/>
      <c r="AA75" s="11"/>
      <c r="AB75" s="11"/>
      <c r="AC75" s="11"/>
      <c r="AD75" s="44"/>
      <c r="AE75" s="48" t="e">
        <f t="shared" si="82"/>
        <v>#DIV/0!</v>
      </c>
      <c r="AF75" s="48" t="e">
        <f t="shared" si="83"/>
        <v>#DIV/0!</v>
      </c>
      <c r="AG75" s="48" t="str">
        <f t="shared" si="84"/>
        <v>Pm-141</v>
      </c>
    </row>
    <row r="76" spans="2:48" ht="15.75" customHeight="1" x14ac:dyDescent="0.25">
      <c r="B76" s="6" t="s">
        <v>97</v>
      </c>
      <c r="C76" s="23">
        <v>59143</v>
      </c>
      <c r="D76" s="23" t="s">
        <v>245</v>
      </c>
      <c r="E76" s="25">
        <v>1.0667E-5</v>
      </c>
      <c r="F76" s="25"/>
      <c r="G76" s="25" t="s">
        <v>175</v>
      </c>
      <c r="H76" s="7" t="s">
        <v>92</v>
      </c>
      <c r="I76" s="21"/>
      <c r="J76" s="14"/>
      <c r="K76" s="17"/>
      <c r="L76" s="17">
        <v>1</v>
      </c>
      <c r="M76" s="12">
        <f t="shared" si="85"/>
        <v>60</v>
      </c>
      <c r="N76" s="12">
        <f t="shared" si="79"/>
        <v>1.1552453009332421E-2</v>
      </c>
      <c r="O76" s="30">
        <f t="shared" si="86"/>
        <v>1.0000000000000001E-24</v>
      </c>
      <c r="P76" s="30">
        <f t="shared" si="80"/>
        <v>13978830.671413144</v>
      </c>
      <c r="Q76" s="10">
        <f t="shared" si="87"/>
        <v>1.0666999999999998E+19</v>
      </c>
      <c r="R76" s="10">
        <f t="shared" si="88"/>
        <v>1.4911218677196397E+26</v>
      </c>
      <c r="S76" s="58">
        <f t="shared" si="89"/>
        <v>1.7226115308019132E+24</v>
      </c>
      <c r="T76" s="47" t="str">
        <f t="shared" si="81"/>
        <v>Isot tierras raras</v>
      </c>
      <c r="U76" s="56"/>
      <c r="V76" s="53"/>
      <c r="W76" s="11"/>
      <c r="X76" s="11"/>
      <c r="Y76" s="11"/>
      <c r="Z76" s="11"/>
      <c r="AA76" s="11"/>
      <c r="AB76" s="11"/>
      <c r="AC76" s="11"/>
      <c r="AD76" s="44"/>
      <c r="AE76" s="48" t="e">
        <f t="shared" si="82"/>
        <v>#DIV/0!</v>
      </c>
      <c r="AF76" s="48" t="e">
        <f t="shared" si="83"/>
        <v>#DIV/0!</v>
      </c>
      <c r="AG76" s="48" t="str">
        <f t="shared" si="84"/>
        <v>Pm-143</v>
      </c>
    </row>
    <row r="77" spans="2:48" ht="15.75" customHeight="1" x14ac:dyDescent="0.25">
      <c r="B77" s="6" t="s">
        <v>98</v>
      </c>
      <c r="C77" s="23">
        <v>60143</v>
      </c>
      <c r="D77" s="23" t="s">
        <v>245</v>
      </c>
      <c r="E77" s="25">
        <v>1.00964E-4</v>
      </c>
      <c r="F77" s="25"/>
      <c r="G77" s="25" t="s">
        <v>15</v>
      </c>
      <c r="H77" s="7" t="s">
        <v>99</v>
      </c>
      <c r="I77" s="21"/>
      <c r="J77" s="14"/>
      <c r="K77" s="17"/>
      <c r="L77" s="17">
        <v>3.7</v>
      </c>
      <c r="M77" s="12">
        <f t="shared" si="85"/>
        <v>222</v>
      </c>
      <c r="N77" s="12">
        <f t="shared" si="79"/>
        <v>3.1222845971168706E-3</v>
      </c>
      <c r="O77" s="30">
        <f t="shared" si="86"/>
        <v>1.0000000000000001E-24</v>
      </c>
      <c r="P77" s="30">
        <f t="shared" si="80"/>
        <v>13978830.671413144</v>
      </c>
      <c r="Q77" s="10">
        <f t="shared" si="87"/>
        <v>1.00964E+20</v>
      </c>
      <c r="R77" s="10">
        <f t="shared" si="88"/>
        <v>1.4113586599085568E+27</v>
      </c>
      <c r="S77" s="58">
        <f t="shared" si="89"/>
        <v>4.4066634048399946E+24</v>
      </c>
      <c r="T77" s="47" t="str">
        <f t="shared" si="81"/>
        <v>Isot tierras raras</v>
      </c>
      <c r="U77" s="56"/>
      <c r="V77" s="53"/>
      <c r="W77" s="11"/>
      <c r="X77" s="11"/>
      <c r="Y77" s="11"/>
      <c r="Z77" s="11"/>
      <c r="AA77" s="11"/>
      <c r="AB77" s="11"/>
      <c r="AC77" s="11"/>
      <c r="AD77" s="44"/>
      <c r="AE77" s="48" t="e">
        <f t="shared" si="82"/>
        <v>#DIV/0!</v>
      </c>
      <c r="AF77" s="48" t="e">
        <f t="shared" si="83"/>
        <v>#DIV/0!</v>
      </c>
      <c r="AG77" s="48" t="str">
        <f t="shared" si="84"/>
        <v>Nd-143</v>
      </c>
    </row>
    <row r="78" spans="2:48" ht="15.75" customHeight="1" x14ac:dyDescent="0.25">
      <c r="B78" s="6" t="s">
        <v>100</v>
      </c>
      <c r="C78" s="23">
        <v>60144</v>
      </c>
      <c r="D78" s="23" t="s">
        <v>245</v>
      </c>
      <c r="E78" s="25">
        <v>7.1398700000000005E-5</v>
      </c>
      <c r="F78" s="25"/>
      <c r="G78" s="25" t="s">
        <v>176</v>
      </c>
      <c r="H78" s="7" t="s">
        <v>101</v>
      </c>
      <c r="I78" s="21"/>
      <c r="J78" s="14"/>
      <c r="K78" s="17"/>
      <c r="L78" s="17">
        <v>2.2999999999999998</v>
      </c>
      <c r="M78" s="12">
        <f t="shared" si="85"/>
        <v>138</v>
      </c>
      <c r="N78" s="12">
        <f t="shared" si="79"/>
        <v>5.0228056562314875E-3</v>
      </c>
      <c r="O78" s="30">
        <f t="shared" si="86"/>
        <v>1.0000000000000001E-24</v>
      </c>
      <c r="P78" s="30">
        <f t="shared" si="80"/>
        <v>13978830.671413144</v>
      </c>
      <c r="Q78" s="10">
        <f t="shared" si="87"/>
        <v>7.13987E+19</v>
      </c>
      <c r="R78" s="10">
        <f t="shared" si="88"/>
        <v>9.9807033745902564E+26</v>
      </c>
      <c r="S78" s="58">
        <f t="shared" si="89"/>
        <v>5.0131133363060632E+24</v>
      </c>
      <c r="T78" s="47" t="str">
        <f t="shared" si="81"/>
        <v>Isot tierras raras</v>
      </c>
      <c r="U78" s="56"/>
      <c r="V78" s="53"/>
      <c r="W78" s="11"/>
      <c r="X78" s="11"/>
      <c r="Y78" s="11"/>
      <c r="Z78" s="11"/>
      <c r="AA78" s="11"/>
      <c r="AB78" s="11"/>
      <c r="AC78" s="11"/>
      <c r="AD78" s="44"/>
      <c r="AE78" s="48" t="e">
        <f t="shared" si="82"/>
        <v>#DIV/0!</v>
      </c>
      <c r="AF78" s="48" t="e">
        <f t="shared" si="83"/>
        <v>#DIV/0!</v>
      </c>
      <c r="AG78" s="48" t="str">
        <f t="shared" si="84"/>
        <v>Nd-144</v>
      </c>
    </row>
    <row r="79" spans="2:48" ht="15.75" hidden="1" customHeight="1" x14ac:dyDescent="0.25">
      <c r="B79" s="6" t="s">
        <v>9</v>
      </c>
      <c r="C79" s="23">
        <v>64157</v>
      </c>
      <c r="D79" s="23"/>
      <c r="E79" s="25">
        <v>1.7608699999999999E-8</v>
      </c>
      <c r="F79" s="25"/>
      <c r="G79" s="25" t="s">
        <v>15</v>
      </c>
      <c r="H79" s="22" t="s">
        <v>15</v>
      </c>
      <c r="I79" s="21"/>
      <c r="J79" s="14"/>
      <c r="K79" s="17"/>
      <c r="L79" s="17"/>
      <c r="M79" s="12">
        <f t="shared" si="85"/>
        <v>0</v>
      </c>
      <c r="N79" s="8"/>
      <c r="O79" s="30">
        <f t="shared" si="86"/>
        <v>1.0000000000000001E-24</v>
      </c>
      <c r="P79" s="30">
        <f t="shared" si="80"/>
        <v>13978830.671413144</v>
      </c>
      <c r="Q79" s="10">
        <f t="shared" si="87"/>
        <v>1.7608699999999998E+16</v>
      </c>
      <c r="R79" s="10">
        <f t="shared" si="88"/>
        <v>2.4614903564371262E+23</v>
      </c>
      <c r="S79" s="10">
        <f t="shared" si="89"/>
        <v>0</v>
      </c>
      <c r="T79" s="46"/>
      <c r="U79" s="55">
        <v>0.01</v>
      </c>
      <c r="V79" s="9"/>
      <c r="W79" s="11">
        <v>0.999</v>
      </c>
      <c r="X79" s="11"/>
      <c r="Y79" s="11"/>
      <c r="Z79" s="11"/>
      <c r="AA79" s="11"/>
      <c r="AB79" s="11"/>
      <c r="AC79" s="11"/>
      <c r="AD79" s="11"/>
      <c r="AE79" s="46">
        <f t="shared" ref="AE79:AE81" si="90">S79*U79*(1-W79)</f>
        <v>0</v>
      </c>
      <c r="AF79" s="42"/>
      <c r="AG79" s="42"/>
    </row>
    <row r="80" spans="2:48" ht="15.75" customHeight="1" x14ac:dyDescent="0.25">
      <c r="B80" s="6" t="s">
        <v>102</v>
      </c>
      <c r="C80" s="23">
        <v>60145</v>
      </c>
      <c r="D80" s="23" t="s">
        <v>245</v>
      </c>
      <c r="E80" s="25">
        <v>8.4787400000000001E-5</v>
      </c>
      <c r="F80" s="25"/>
      <c r="G80" s="25" t="s">
        <v>15</v>
      </c>
      <c r="H80" s="7" t="s">
        <v>103</v>
      </c>
      <c r="I80" s="21"/>
      <c r="J80" s="14"/>
      <c r="K80" s="17">
        <v>3.5</v>
      </c>
      <c r="L80" s="17"/>
      <c r="M80" s="12">
        <f t="shared" si="85"/>
        <v>12600</v>
      </c>
      <c r="N80" s="12">
        <f>LN(2)/(M80)</f>
        <v>5.5011680996821053E-5</v>
      </c>
      <c r="O80" s="30">
        <f t="shared" si="86"/>
        <v>1.0000000000000001E-24</v>
      </c>
      <c r="P80" s="30">
        <f t="shared" si="80"/>
        <v>13978830.671413144</v>
      </c>
      <c r="Q80" s="10">
        <f t="shared" si="87"/>
        <v>8.4787399999999984E+19</v>
      </c>
      <c r="R80" s="10">
        <f t="shared" si="88"/>
        <v>1.1852287076693746E+27</v>
      </c>
      <c r="S80" s="58">
        <f t="shared" si="89"/>
        <v>6.5201423574582107E+22</v>
      </c>
      <c r="T80" s="47" t="str">
        <f>D80</f>
        <v>Isot tierras raras</v>
      </c>
      <c r="U80" s="56"/>
      <c r="V80" s="53"/>
      <c r="W80" s="11"/>
      <c r="X80" s="11"/>
      <c r="Y80" s="11"/>
      <c r="Z80" s="11"/>
      <c r="AA80" s="11"/>
      <c r="AB80" s="11"/>
      <c r="AC80" s="11"/>
      <c r="AD80" s="44"/>
      <c r="AE80" s="48" t="e">
        <f>$S80*(1/U80)*(1/W80)*(1/Y80)*(1/AA80)*(1/AC80)</f>
        <v>#DIV/0!</v>
      </c>
      <c r="AF80" s="48" t="e">
        <f>$S80*(1/V80)*(1/X80)*(1/Z80)*(1/AB80)*(1/AD80)</f>
        <v>#DIV/0!</v>
      </c>
      <c r="AG80" s="48" t="str">
        <f>B80</f>
        <v>Nd-145</v>
      </c>
    </row>
    <row r="81" spans="2:33" ht="15.75" hidden="1" customHeight="1" x14ac:dyDescent="0.25">
      <c r="B81" s="6" t="s">
        <v>131</v>
      </c>
      <c r="C81" s="23">
        <v>92236</v>
      </c>
      <c r="D81" s="23"/>
      <c r="E81" s="25">
        <v>4.3358399999999999E-4</v>
      </c>
      <c r="F81" s="25" t="s">
        <v>221</v>
      </c>
      <c r="G81" s="25" t="s">
        <v>187</v>
      </c>
      <c r="H81" s="7" t="s">
        <v>132</v>
      </c>
      <c r="I81" s="21"/>
      <c r="J81" s="14"/>
      <c r="K81" s="17"/>
      <c r="L81" s="17"/>
      <c r="M81" s="12">
        <f t="shared" si="85"/>
        <v>0</v>
      </c>
      <c r="N81" s="8"/>
      <c r="O81" s="30">
        <f t="shared" si="86"/>
        <v>1.0000000000000001E-24</v>
      </c>
      <c r="P81" s="30">
        <f t="shared" si="80"/>
        <v>13978830.671413144</v>
      </c>
      <c r="Q81" s="10">
        <f t="shared" si="87"/>
        <v>4.3358399999999993E+20</v>
      </c>
      <c r="R81" s="10">
        <f t="shared" si="88"/>
        <v>6.0609973178339958E+27</v>
      </c>
      <c r="S81" s="10">
        <f t="shared" si="89"/>
        <v>0</v>
      </c>
      <c r="T81" s="46"/>
      <c r="U81" s="55">
        <v>0.01</v>
      </c>
      <c r="V81" s="9"/>
      <c r="W81" s="11">
        <v>0.999</v>
      </c>
      <c r="X81" s="11"/>
      <c r="Y81" s="11"/>
      <c r="Z81" s="11"/>
      <c r="AA81" s="11"/>
      <c r="AB81" s="11"/>
      <c r="AC81" s="11"/>
      <c r="AD81" s="11"/>
      <c r="AE81" s="46">
        <f t="shared" si="90"/>
        <v>0</v>
      </c>
      <c r="AF81" s="42"/>
      <c r="AG81" s="42"/>
    </row>
    <row r="82" spans="2:33" ht="15.75" customHeight="1" x14ac:dyDescent="0.25">
      <c r="B82" s="6" t="s">
        <v>104</v>
      </c>
      <c r="C82" s="23">
        <v>60146</v>
      </c>
      <c r="D82" s="23" t="s">
        <v>245</v>
      </c>
      <c r="E82" s="25">
        <v>8.2334499999999996E-5</v>
      </c>
      <c r="F82" s="25"/>
      <c r="G82" s="25" t="s">
        <v>15</v>
      </c>
      <c r="H82" s="7" t="s">
        <v>105</v>
      </c>
      <c r="I82" s="21"/>
      <c r="J82" s="14">
        <v>13.5</v>
      </c>
      <c r="K82" s="17"/>
      <c r="L82" s="17"/>
      <c r="M82" s="12">
        <f t="shared" si="85"/>
        <v>1166400</v>
      </c>
      <c r="N82" s="12">
        <f t="shared" ref="N82:N92" si="91">LN(2)/(M82)</f>
        <v>5.9426198607677065E-7</v>
      </c>
      <c r="O82" s="30">
        <f t="shared" si="86"/>
        <v>1.0000000000000001E-24</v>
      </c>
      <c r="P82" s="30">
        <f t="shared" si="80"/>
        <v>13978830.671413144</v>
      </c>
      <c r="Q82" s="10">
        <f t="shared" si="87"/>
        <v>8.2334499999999984E+19</v>
      </c>
      <c r="R82" s="10">
        <f t="shared" si="88"/>
        <v>1.1509400339154653E+27</v>
      </c>
      <c r="S82" s="58">
        <f t="shared" si="89"/>
        <v>6.8395991040987011E+20</v>
      </c>
      <c r="T82" s="47" t="str">
        <f t="shared" ref="T82:T92" si="92">D82</f>
        <v>Isot tierras raras</v>
      </c>
      <c r="U82" s="56"/>
      <c r="V82" s="53"/>
      <c r="W82" s="11"/>
      <c r="X82" s="11"/>
      <c r="Y82" s="11"/>
      <c r="Z82" s="11"/>
      <c r="AA82" s="11"/>
      <c r="AB82" s="11"/>
      <c r="AC82" s="11"/>
      <c r="AD82" s="44"/>
      <c r="AE82" s="48" t="e">
        <f t="shared" ref="AE82:AE92" si="93">$S82*(1/U82)*(1/W82)*(1/Y82)*(1/AA82)*(1/AC82)</f>
        <v>#DIV/0!</v>
      </c>
      <c r="AF82" s="48" t="e">
        <f t="shared" ref="AF82:AF92" si="94">$S82*(1/V82)*(1/X82)*(1/Z82)*(1/AB82)*(1/AD82)</f>
        <v>#DIV/0!</v>
      </c>
      <c r="AG82" s="48" t="str">
        <f t="shared" ref="AG82:AG92" si="95">B82</f>
        <v>Nd-146</v>
      </c>
    </row>
    <row r="83" spans="2:33" ht="15.75" customHeight="1" x14ac:dyDescent="0.25">
      <c r="B83" s="6" t="s">
        <v>106</v>
      </c>
      <c r="C83" s="23">
        <v>60147</v>
      </c>
      <c r="D83" s="23" t="s">
        <v>245</v>
      </c>
      <c r="E83" s="25">
        <v>3.3657100000000001E-6</v>
      </c>
      <c r="F83" s="25" t="s">
        <v>219</v>
      </c>
      <c r="G83" s="25" t="s">
        <v>177</v>
      </c>
      <c r="H83" s="7" t="s">
        <v>107</v>
      </c>
      <c r="I83" s="21"/>
      <c r="J83" s="14"/>
      <c r="K83" s="17">
        <v>1.8</v>
      </c>
      <c r="L83" s="17"/>
      <c r="M83" s="12">
        <f t="shared" si="85"/>
        <v>6480</v>
      </c>
      <c r="N83" s="12">
        <f t="shared" si="91"/>
        <v>1.0696715749381872E-4</v>
      </c>
      <c r="O83" s="30">
        <f t="shared" si="86"/>
        <v>1.0000000000000001E-24</v>
      </c>
      <c r="P83" s="30">
        <f t="shared" si="80"/>
        <v>13978830.671413144</v>
      </c>
      <c r="Q83" s="10">
        <f t="shared" si="87"/>
        <v>3.3657099999999995E+18</v>
      </c>
      <c r="R83" s="10">
        <f t="shared" si="88"/>
        <v>4.7048690179081928E+25</v>
      </c>
      <c r="S83" s="58">
        <f t="shared" si="89"/>
        <v>5.0326646522637388E+21</v>
      </c>
      <c r="T83" s="47" t="str">
        <f t="shared" si="92"/>
        <v>Isot tierras raras</v>
      </c>
      <c r="U83" s="56"/>
      <c r="V83" s="53"/>
      <c r="W83" s="11"/>
      <c r="X83" s="11"/>
      <c r="Y83" s="11"/>
      <c r="Z83" s="11"/>
      <c r="AA83" s="11"/>
      <c r="AB83" s="11"/>
      <c r="AC83" s="11"/>
      <c r="AD83" s="44"/>
      <c r="AE83" s="48" t="e">
        <f t="shared" si="93"/>
        <v>#DIV/0!</v>
      </c>
      <c r="AF83" s="48" t="e">
        <f t="shared" si="94"/>
        <v>#DIV/0!</v>
      </c>
      <c r="AG83" s="48" t="str">
        <f t="shared" si="95"/>
        <v>Nd-147</v>
      </c>
    </row>
    <row r="84" spans="2:33" ht="15.75" customHeight="1" x14ac:dyDescent="0.25">
      <c r="B84" s="6" t="s">
        <v>109</v>
      </c>
      <c r="C84" s="23">
        <v>60150</v>
      </c>
      <c r="D84" s="23" t="s">
        <v>245</v>
      </c>
      <c r="E84" s="25">
        <v>1.8382399999999999E-5</v>
      </c>
      <c r="F84" s="25"/>
      <c r="G84" s="25" t="s">
        <v>15</v>
      </c>
      <c r="H84" s="7" t="s">
        <v>110</v>
      </c>
      <c r="I84" s="21">
        <v>7E+18</v>
      </c>
      <c r="J84" s="14"/>
      <c r="K84" s="17"/>
      <c r="L84" s="17"/>
      <c r="M84" s="12">
        <f t="shared" si="85"/>
        <v>2.2075200000000002E+26</v>
      </c>
      <c r="N84" s="12">
        <f t="shared" si="91"/>
        <v>3.1399361299555395E-27</v>
      </c>
      <c r="O84" s="30">
        <f t="shared" si="86"/>
        <v>1.0000000000000001E-24</v>
      </c>
      <c r="P84" s="30">
        <f t="shared" si="80"/>
        <v>13978830.671413144</v>
      </c>
      <c r="Q84" s="10">
        <f t="shared" si="87"/>
        <v>1.8382399999999996E+19</v>
      </c>
      <c r="R84" s="10">
        <f t="shared" si="88"/>
        <v>2.5696445693418491E+26</v>
      </c>
      <c r="S84" s="58">
        <f t="shared" si="89"/>
        <v>0.80685198244205147</v>
      </c>
      <c r="T84" s="47" t="str">
        <f t="shared" si="92"/>
        <v>Isot tierras raras</v>
      </c>
      <c r="U84" s="56"/>
      <c r="V84" s="53"/>
      <c r="W84" s="11"/>
      <c r="X84" s="11"/>
      <c r="Y84" s="11"/>
      <c r="Z84" s="11"/>
      <c r="AA84" s="11"/>
      <c r="AB84" s="11"/>
      <c r="AC84" s="11"/>
      <c r="AD84" s="44"/>
      <c r="AE84" s="48" t="e">
        <f t="shared" si="93"/>
        <v>#DIV/0!</v>
      </c>
      <c r="AF84" s="48" t="e">
        <f t="shared" si="94"/>
        <v>#DIV/0!</v>
      </c>
      <c r="AG84" s="48" t="str">
        <f t="shared" si="95"/>
        <v>Nd-150</v>
      </c>
    </row>
    <row r="85" spans="2:33" ht="15.75" customHeight="1" x14ac:dyDescent="0.25">
      <c r="B85" s="6" t="s">
        <v>115</v>
      </c>
      <c r="C85" s="23">
        <v>62147</v>
      </c>
      <c r="D85" s="23" t="s">
        <v>245</v>
      </c>
      <c r="E85" s="25">
        <v>3.1402800000000001E-6</v>
      </c>
      <c r="F85" s="25" t="s">
        <v>220</v>
      </c>
      <c r="G85" s="25" t="s">
        <v>180</v>
      </c>
      <c r="H85" s="7" t="s">
        <v>116</v>
      </c>
      <c r="I85" s="21"/>
      <c r="J85" s="14"/>
      <c r="K85" s="17">
        <v>38</v>
      </c>
      <c r="L85" s="17"/>
      <c r="M85" s="12">
        <f t="shared" si="85"/>
        <v>136800</v>
      </c>
      <c r="N85" s="12">
        <f t="shared" si="91"/>
        <v>5.0668653549703601E-6</v>
      </c>
      <c r="O85" s="30">
        <f t="shared" si="86"/>
        <v>1.0000000000000001E-24</v>
      </c>
      <c r="P85" s="30">
        <f t="shared" si="80"/>
        <v>13978830.671413144</v>
      </c>
      <c r="Q85" s="10">
        <f t="shared" si="87"/>
        <v>3.14028E+18</v>
      </c>
      <c r="R85" s="10">
        <f t="shared" si="88"/>
        <v>4.3897442380825266E+25</v>
      </c>
      <c r="S85" s="58">
        <f t="shared" si="89"/>
        <v>2.2242242997121116E+20</v>
      </c>
      <c r="T85" s="47" t="str">
        <f t="shared" si="92"/>
        <v>Isot tierras raras</v>
      </c>
      <c r="U85" s="56"/>
      <c r="V85" s="53"/>
      <c r="W85" s="11"/>
      <c r="X85" s="11"/>
      <c r="Y85" s="11"/>
      <c r="Z85" s="11"/>
      <c r="AA85" s="11"/>
      <c r="AB85" s="11"/>
      <c r="AC85" s="11"/>
      <c r="AD85" s="44"/>
      <c r="AE85" s="48" t="e">
        <f t="shared" si="93"/>
        <v>#DIV/0!</v>
      </c>
      <c r="AF85" s="48" t="e">
        <f t="shared" si="94"/>
        <v>#DIV/0!</v>
      </c>
      <c r="AG85" s="48" t="str">
        <f t="shared" si="95"/>
        <v>Gd-147</v>
      </c>
    </row>
    <row r="86" spans="2:33" ht="15.75" customHeight="1" x14ac:dyDescent="0.25">
      <c r="B86" s="6" t="s">
        <v>117</v>
      </c>
      <c r="C86" s="23">
        <v>62149</v>
      </c>
      <c r="D86" s="23" t="s">
        <v>245</v>
      </c>
      <c r="E86" s="25">
        <v>3.2433899999999998E-7</v>
      </c>
      <c r="F86" s="25"/>
      <c r="G86" s="25" t="s">
        <v>181</v>
      </c>
      <c r="H86" s="7" t="s">
        <v>118</v>
      </c>
      <c r="I86" s="21"/>
      <c r="J86" s="14"/>
      <c r="K86" s="17">
        <v>1.7</v>
      </c>
      <c r="L86" s="17"/>
      <c r="M86" s="12">
        <f t="shared" si="85"/>
        <v>6120</v>
      </c>
      <c r="N86" s="12">
        <f t="shared" si="91"/>
        <v>1.1325934322874924E-4</v>
      </c>
      <c r="O86" s="30">
        <f t="shared" si="86"/>
        <v>1.0000000000000001E-24</v>
      </c>
      <c r="P86" s="30">
        <f t="shared" si="80"/>
        <v>13978830.671413144</v>
      </c>
      <c r="Q86" s="10">
        <f t="shared" si="87"/>
        <v>3.2433899999999994E+17</v>
      </c>
      <c r="R86" s="10">
        <f t="shared" si="88"/>
        <v>4.5338799611354667E+24</v>
      </c>
      <c r="S86" s="58">
        <f t="shared" si="89"/>
        <v>5.1350426667619005E+20</v>
      </c>
      <c r="T86" s="47" t="str">
        <f t="shared" si="92"/>
        <v>Isot tierras raras</v>
      </c>
      <c r="U86" s="56"/>
      <c r="V86" s="53"/>
      <c r="W86" s="11"/>
      <c r="X86" s="11"/>
      <c r="Y86" s="11"/>
      <c r="Z86" s="11"/>
      <c r="AA86" s="11"/>
      <c r="AB86" s="11"/>
      <c r="AC86" s="11"/>
      <c r="AD86" s="44"/>
      <c r="AE86" s="48" t="e">
        <f t="shared" si="93"/>
        <v>#DIV/0!</v>
      </c>
      <c r="AF86" s="48" t="e">
        <f t="shared" si="94"/>
        <v>#DIV/0!</v>
      </c>
      <c r="AG86" s="48" t="str">
        <f t="shared" si="95"/>
        <v>Gd-149</v>
      </c>
    </row>
    <row r="87" spans="2:33" ht="15.75" customHeight="1" x14ac:dyDescent="0.25">
      <c r="B87" s="6" t="s">
        <v>119</v>
      </c>
      <c r="C87" s="23">
        <v>62150</v>
      </c>
      <c r="D87" s="23" t="s">
        <v>245</v>
      </c>
      <c r="E87" s="25">
        <v>2.4283100000000001E-5</v>
      </c>
      <c r="F87" s="25"/>
      <c r="G87" s="25" t="s">
        <v>15</v>
      </c>
      <c r="H87" s="7" t="s">
        <v>120</v>
      </c>
      <c r="I87" s="21"/>
      <c r="J87" s="14"/>
      <c r="K87" s="17">
        <v>18.5</v>
      </c>
      <c r="L87" s="17"/>
      <c r="M87" s="12">
        <f t="shared" si="85"/>
        <v>66600</v>
      </c>
      <c r="N87" s="12">
        <f t="shared" si="91"/>
        <v>1.0407615323722902E-5</v>
      </c>
      <c r="O87" s="30">
        <f t="shared" si="86"/>
        <v>1.0000000000000001E-24</v>
      </c>
      <c r="P87" s="30">
        <f t="shared" si="80"/>
        <v>13978830.671413144</v>
      </c>
      <c r="Q87" s="10">
        <f t="shared" si="87"/>
        <v>2.42831E+19</v>
      </c>
      <c r="R87" s="10">
        <f t="shared" si="88"/>
        <v>3.3944934307699249E+26</v>
      </c>
      <c r="S87" s="58">
        <f t="shared" si="89"/>
        <v>3.5328581846357796E+21</v>
      </c>
      <c r="T87" s="47" t="str">
        <f t="shared" si="92"/>
        <v>Isot tierras raras</v>
      </c>
      <c r="U87" s="56"/>
      <c r="V87" s="53"/>
      <c r="W87" s="11"/>
      <c r="X87" s="11"/>
      <c r="Y87" s="11"/>
      <c r="Z87" s="11"/>
      <c r="AA87" s="11"/>
      <c r="AB87" s="11"/>
      <c r="AC87" s="11"/>
      <c r="AD87" s="44"/>
      <c r="AE87" s="48" t="e">
        <f t="shared" si="93"/>
        <v>#DIV/0!</v>
      </c>
      <c r="AF87" s="48" t="e">
        <f t="shared" si="94"/>
        <v>#DIV/0!</v>
      </c>
      <c r="AG87" s="48" t="str">
        <f t="shared" si="95"/>
        <v>Gd-150</v>
      </c>
    </row>
    <row r="88" spans="2:33" ht="15.75" customHeight="1" x14ac:dyDescent="0.25">
      <c r="B88" s="6" t="s">
        <v>121</v>
      </c>
      <c r="C88" s="23">
        <v>62151</v>
      </c>
      <c r="D88" s="23" t="s">
        <v>245</v>
      </c>
      <c r="E88" s="25">
        <v>1.86627E-6</v>
      </c>
      <c r="F88" s="25"/>
      <c r="G88" s="25" t="s">
        <v>182</v>
      </c>
      <c r="H88" s="7" t="s">
        <v>92</v>
      </c>
      <c r="I88" s="21"/>
      <c r="J88" s="14"/>
      <c r="K88" s="17"/>
      <c r="L88" s="17">
        <v>1</v>
      </c>
      <c r="M88" s="12">
        <f t="shared" si="85"/>
        <v>60</v>
      </c>
      <c r="N88" s="12">
        <f t="shared" si="91"/>
        <v>1.1552453009332421E-2</v>
      </c>
      <c r="O88" s="30">
        <f t="shared" si="86"/>
        <v>1.0000000000000001E-24</v>
      </c>
      <c r="P88" s="30">
        <f t="shared" si="80"/>
        <v>13978830.671413144</v>
      </c>
      <c r="Q88" s="10">
        <f t="shared" si="87"/>
        <v>1.8662699999999997E+18</v>
      </c>
      <c r="R88" s="10">
        <f t="shared" si="88"/>
        <v>2.6088272317138204E+25</v>
      </c>
      <c r="S88" s="58">
        <f t="shared" si="89"/>
        <v>3.0138354003840695E+23</v>
      </c>
      <c r="T88" s="47" t="str">
        <f t="shared" si="92"/>
        <v>Isot tierras raras</v>
      </c>
      <c r="U88" s="56"/>
      <c r="V88" s="53"/>
      <c r="W88" s="11"/>
      <c r="X88" s="11"/>
      <c r="Y88" s="11"/>
      <c r="Z88" s="11"/>
      <c r="AA88" s="11"/>
      <c r="AB88" s="11"/>
      <c r="AC88" s="11"/>
      <c r="AD88" s="44"/>
      <c r="AE88" s="48" t="e">
        <f t="shared" si="93"/>
        <v>#DIV/0!</v>
      </c>
      <c r="AF88" s="48" t="e">
        <f t="shared" si="94"/>
        <v>#DIV/0!</v>
      </c>
      <c r="AG88" s="48" t="str">
        <f t="shared" si="95"/>
        <v>Gd-151</v>
      </c>
    </row>
    <row r="89" spans="2:33" ht="15.75" customHeight="1" x14ac:dyDescent="0.25">
      <c r="B89" s="6" t="s">
        <v>122</v>
      </c>
      <c r="C89" s="23">
        <v>62152</v>
      </c>
      <c r="D89" s="23" t="s">
        <v>245</v>
      </c>
      <c r="E89" s="25">
        <v>1.06573E-5</v>
      </c>
      <c r="F89" s="25"/>
      <c r="G89" s="25" t="s">
        <v>15</v>
      </c>
      <c r="H89" s="7" t="s">
        <v>123</v>
      </c>
      <c r="I89" s="21"/>
      <c r="J89" s="14"/>
      <c r="K89" s="17">
        <v>4.8</v>
      </c>
      <c r="L89" s="17"/>
      <c r="M89" s="12">
        <f t="shared" si="85"/>
        <v>17280</v>
      </c>
      <c r="N89" s="12">
        <f t="shared" si="91"/>
        <v>4.0112684060182019E-5</v>
      </c>
      <c r="O89" s="30">
        <f t="shared" si="86"/>
        <v>1.0000000000000001E-24</v>
      </c>
      <c r="P89" s="30">
        <f t="shared" si="80"/>
        <v>13978830.671413144</v>
      </c>
      <c r="Q89" s="10">
        <f t="shared" si="87"/>
        <v>1.06573E+19</v>
      </c>
      <c r="R89" s="10">
        <f t="shared" si="88"/>
        <v>1.4897659211445131E+26</v>
      </c>
      <c r="S89" s="58">
        <f t="shared" si="89"/>
        <v>5.9758509718495895E+21</v>
      </c>
      <c r="T89" s="47" t="str">
        <f t="shared" si="92"/>
        <v>Isot tierras raras</v>
      </c>
      <c r="U89" s="56"/>
      <c r="V89" s="53"/>
      <c r="W89" s="11"/>
      <c r="X89" s="11"/>
      <c r="Y89" s="11"/>
      <c r="Z89" s="11"/>
      <c r="AA89" s="11"/>
      <c r="AB89" s="11"/>
      <c r="AC89" s="11"/>
      <c r="AD89" s="44"/>
      <c r="AE89" s="48" t="e">
        <f t="shared" si="93"/>
        <v>#DIV/0!</v>
      </c>
      <c r="AF89" s="48" t="e">
        <f t="shared" si="94"/>
        <v>#DIV/0!</v>
      </c>
      <c r="AG89" s="48" t="str">
        <f t="shared" si="95"/>
        <v>Gd-152</v>
      </c>
    </row>
    <row r="90" spans="2:33" ht="15.75" customHeight="1" x14ac:dyDescent="0.25">
      <c r="B90" s="6" t="s">
        <v>124</v>
      </c>
      <c r="C90" s="23">
        <v>63153</v>
      </c>
      <c r="D90" s="23" t="s">
        <v>245</v>
      </c>
      <c r="E90" s="25">
        <v>1.08169E-5</v>
      </c>
      <c r="F90" s="25"/>
      <c r="G90" s="25" t="s">
        <v>183</v>
      </c>
      <c r="H90" s="7" t="s">
        <v>125</v>
      </c>
      <c r="I90" s="21"/>
      <c r="J90" s="14"/>
      <c r="K90" s="17"/>
      <c r="L90" s="17">
        <v>2.1</v>
      </c>
      <c r="M90" s="12">
        <f t="shared" si="85"/>
        <v>126</v>
      </c>
      <c r="N90" s="12">
        <f t="shared" si="91"/>
        <v>5.5011680996821053E-3</v>
      </c>
      <c r="O90" s="30">
        <f t="shared" si="86"/>
        <v>1.0000000000000001E-24</v>
      </c>
      <c r="P90" s="30">
        <f t="shared" si="80"/>
        <v>13978830.671413144</v>
      </c>
      <c r="Q90" s="10">
        <f t="shared" si="87"/>
        <v>1.0816899999999998E+19</v>
      </c>
      <c r="R90" s="10">
        <f t="shared" si="88"/>
        <v>1.5120761348960881E+26</v>
      </c>
      <c r="S90" s="58">
        <f t="shared" si="89"/>
        <v>8.318184997580976E+23</v>
      </c>
      <c r="T90" s="47" t="str">
        <f t="shared" si="92"/>
        <v>Isot tierras raras</v>
      </c>
      <c r="U90" s="56"/>
      <c r="V90" s="53"/>
      <c r="W90" s="11"/>
      <c r="X90" s="11"/>
      <c r="Y90" s="11"/>
      <c r="Z90" s="11"/>
      <c r="AA90" s="11"/>
      <c r="AB90" s="11"/>
      <c r="AC90" s="11"/>
      <c r="AD90" s="44"/>
      <c r="AE90" s="48" t="e">
        <f t="shared" si="93"/>
        <v>#DIV/0!</v>
      </c>
      <c r="AF90" s="48" t="e">
        <f t="shared" si="94"/>
        <v>#DIV/0!</v>
      </c>
      <c r="AG90" s="48" t="str">
        <f t="shared" si="95"/>
        <v>Dy-153</v>
      </c>
    </row>
    <row r="91" spans="2:33" ht="15.75" customHeight="1" x14ac:dyDescent="0.25">
      <c r="B91" s="6" t="s">
        <v>126</v>
      </c>
      <c r="C91" s="23">
        <v>63154</v>
      </c>
      <c r="D91" s="23" t="s">
        <v>245</v>
      </c>
      <c r="E91" s="25">
        <v>1.9352499999999998E-6</v>
      </c>
      <c r="F91" s="25"/>
      <c r="G91" s="25" t="s">
        <v>184</v>
      </c>
      <c r="H91" s="7" t="s">
        <v>127</v>
      </c>
      <c r="I91" s="21"/>
      <c r="J91" s="14"/>
      <c r="K91" s="17"/>
      <c r="L91" s="17">
        <v>1.8</v>
      </c>
      <c r="M91" s="12">
        <f t="shared" si="85"/>
        <v>108</v>
      </c>
      <c r="N91" s="12">
        <f t="shared" si="91"/>
        <v>6.4180294496291234E-3</v>
      </c>
      <c r="O91" s="30">
        <f t="shared" si="86"/>
        <v>1.0000000000000001E-24</v>
      </c>
      <c r="P91" s="30">
        <f t="shared" si="80"/>
        <v>13978830.671413144</v>
      </c>
      <c r="Q91" s="10">
        <f t="shared" si="87"/>
        <v>1.9352499999999995E+18</v>
      </c>
      <c r="R91" s="10">
        <f t="shared" si="88"/>
        <v>2.705253205685228E+25</v>
      </c>
      <c r="S91" s="58">
        <f t="shared" si="89"/>
        <v>1.7362394742791385E+23</v>
      </c>
      <c r="T91" s="47" t="str">
        <f t="shared" si="92"/>
        <v>Isot tierras raras</v>
      </c>
      <c r="U91" s="56"/>
      <c r="V91" s="53"/>
      <c r="W91" s="11"/>
      <c r="X91" s="11"/>
      <c r="Y91" s="11"/>
      <c r="Z91" s="11"/>
      <c r="AA91" s="11"/>
      <c r="AB91" s="11"/>
      <c r="AC91" s="11"/>
      <c r="AD91" s="44"/>
      <c r="AE91" s="48" t="e">
        <f t="shared" si="93"/>
        <v>#DIV/0!</v>
      </c>
      <c r="AF91" s="48" t="e">
        <f t="shared" si="94"/>
        <v>#DIV/0!</v>
      </c>
      <c r="AG91" s="48" t="str">
        <f t="shared" si="95"/>
        <v>Dy-154</v>
      </c>
    </row>
    <row r="92" spans="2:33" ht="15.75" customHeight="1" x14ac:dyDescent="0.25">
      <c r="B92" s="6" t="s">
        <v>128</v>
      </c>
      <c r="C92" s="23">
        <v>63155</v>
      </c>
      <c r="D92" s="23" t="s">
        <v>245</v>
      </c>
      <c r="E92" s="25">
        <v>5.7612E-7</v>
      </c>
      <c r="F92" s="25"/>
      <c r="G92" s="25" t="s">
        <v>185</v>
      </c>
      <c r="H92" s="7" t="s">
        <v>101</v>
      </c>
      <c r="I92" s="21"/>
      <c r="J92" s="14"/>
      <c r="K92" s="17"/>
      <c r="L92" s="17">
        <v>2.2999999999999998</v>
      </c>
      <c r="M92" s="12">
        <f t="shared" si="85"/>
        <v>138</v>
      </c>
      <c r="N92" s="12">
        <f t="shared" si="91"/>
        <v>5.0228056562314875E-3</v>
      </c>
      <c r="O92" s="30">
        <f t="shared" si="86"/>
        <v>1.0000000000000001E-24</v>
      </c>
      <c r="P92" s="30">
        <f t="shared" si="80"/>
        <v>13978830.671413144</v>
      </c>
      <c r="Q92" s="10">
        <f t="shared" si="87"/>
        <v>5.7611999999999994E+17</v>
      </c>
      <c r="R92" s="10">
        <f t="shared" si="88"/>
        <v>8.0534839264145397E+24</v>
      </c>
      <c r="S92" s="58">
        <f t="shared" si="89"/>
        <v>4.0451084617964319E+22</v>
      </c>
      <c r="T92" s="47" t="str">
        <f t="shared" si="92"/>
        <v>Isot tierras raras</v>
      </c>
      <c r="U92" s="56"/>
      <c r="V92" s="53"/>
      <c r="W92" s="11"/>
      <c r="X92" s="11"/>
      <c r="Y92" s="11"/>
      <c r="Z92" s="11"/>
      <c r="AA92" s="11"/>
      <c r="AB92" s="11"/>
      <c r="AC92" s="11"/>
      <c r="AD92" s="44"/>
      <c r="AE92" s="48" t="e">
        <f t="shared" si="93"/>
        <v>#DIV/0!</v>
      </c>
      <c r="AF92" s="48" t="e">
        <f t="shared" si="94"/>
        <v>#DIV/0!</v>
      </c>
      <c r="AG92" s="48" t="str">
        <f t="shared" si="95"/>
        <v>Dy-155</v>
      </c>
    </row>
    <row r="93" spans="2:33" ht="15.75" customHeight="1" x14ac:dyDescent="0.25"/>
    <row r="94" spans="2:33" ht="15.75" customHeight="1" x14ac:dyDescent="0.25"/>
    <row r="95" spans="2:33" ht="15.75" customHeight="1" x14ac:dyDescent="0.25"/>
    <row r="96" spans="2:33" ht="15.75" customHeight="1" x14ac:dyDescent="0.25">
      <c r="G96" t="s">
        <v>234</v>
      </c>
      <c r="J96" s="65" t="s">
        <v>11</v>
      </c>
      <c r="K96" s="66"/>
    </row>
    <row r="97" spans="7:17" ht="15.75" customHeight="1" x14ac:dyDescent="0.25">
      <c r="G97" t="s">
        <v>235</v>
      </c>
      <c r="J97" s="65" t="s">
        <v>12</v>
      </c>
      <c r="K97" s="65">
        <v>120</v>
      </c>
    </row>
    <row r="98" spans="7:17" ht="15.75" customHeight="1" x14ac:dyDescent="0.25">
      <c r="G98" t="s">
        <v>236</v>
      </c>
      <c r="J98" s="65" t="s">
        <v>13</v>
      </c>
      <c r="K98" s="65">
        <v>309</v>
      </c>
    </row>
    <row r="99" spans="7:17" ht="15.75" customHeight="1" x14ac:dyDescent="0.25">
      <c r="G99" t="s">
        <v>237</v>
      </c>
    </row>
    <row r="100" spans="7:17" ht="15.75" customHeight="1" x14ac:dyDescent="0.25">
      <c r="G100" t="s">
        <v>238</v>
      </c>
    </row>
    <row r="101" spans="7:17" ht="15.75" customHeight="1" x14ac:dyDescent="0.25">
      <c r="G101" t="s">
        <v>239</v>
      </c>
    </row>
    <row r="102" spans="7:17" ht="15.75" customHeight="1" x14ac:dyDescent="0.25">
      <c r="G102" t="s">
        <v>240</v>
      </c>
    </row>
    <row r="103" spans="7:17" ht="15.75" customHeight="1" x14ac:dyDescent="0.25">
      <c r="G103" t="s">
        <v>241</v>
      </c>
    </row>
    <row r="104" spans="7:17" ht="15.75" customHeight="1" x14ac:dyDescent="0.25">
      <c r="G104" t="s">
        <v>242</v>
      </c>
    </row>
    <row r="105" spans="7:17" ht="15.75" customHeight="1" x14ac:dyDescent="0.25">
      <c r="G105" t="s">
        <v>243</v>
      </c>
    </row>
    <row r="106" spans="7:17" ht="15.75" customHeight="1" x14ac:dyDescent="0.25">
      <c r="N106" s="26"/>
      <c r="O106" s="26"/>
      <c r="P106" s="26"/>
      <c r="Q106" s="27"/>
    </row>
    <row r="107" spans="7:17" ht="15.75" customHeight="1" x14ac:dyDescent="0.25">
      <c r="N107" s="2"/>
      <c r="O107" s="28"/>
      <c r="P107" s="28"/>
      <c r="Q107" s="3"/>
    </row>
    <row r="108" spans="7:17" ht="15.75" customHeight="1" x14ac:dyDescent="0.25">
      <c r="N108" s="2"/>
      <c r="O108" s="28"/>
      <c r="P108" s="28"/>
      <c r="Q108" s="3"/>
    </row>
    <row r="109" spans="7:17" ht="15.75" customHeight="1" x14ac:dyDescent="0.25">
      <c r="N109" s="2"/>
      <c r="O109" s="28"/>
      <c r="P109" s="28"/>
      <c r="Q109" s="3"/>
    </row>
    <row r="110" spans="7:17" ht="15.75" customHeight="1" x14ac:dyDescent="0.25">
      <c r="N110" s="2"/>
      <c r="O110" s="28"/>
      <c r="P110" s="28"/>
      <c r="Q110" s="3"/>
    </row>
    <row r="111" spans="7:17" ht="15.75" customHeight="1" x14ac:dyDescent="0.25">
      <c r="N111" s="2"/>
      <c r="O111" s="28"/>
      <c r="P111" s="28"/>
      <c r="Q111" s="3"/>
    </row>
    <row r="112" spans="7:17" ht="15.75" customHeight="1" x14ac:dyDescent="0.25">
      <c r="N112" s="2"/>
      <c r="O112" s="28"/>
      <c r="P112" s="28"/>
      <c r="Q112" s="3"/>
    </row>
    <row r="113" spans="14:17" ht="15.75" customHeight="1" x14ac:dyDescent="0.25">
      <c r="N113" s="2"/>
      <c r="O113" s="28"/>
      <c r="P113" s="28"/>
      <c r="Q113" s="3"/>
    </row>
    <row r="114" spans="14:17" ht="15.75" customHeight="1" x14ac:dyDescent="0.25">
      <c r="N114" s="2"/>
      <c r="O114" s="28"/>
      <c r="P114" s="28"/>
      <c r="Q114" s="3"/>
    </row>
    <row r="115" spans="14:17" ht="15.75" customHeight="1" x14ac:dyDescent="0.25">
      <c r="N115" s="2"/>
      <c r="O115" s="28"/>
      <c r="P115" s="28"/>
      <c r="Q115" s="3"/>
    </row>
    <row r="116" spans="14:17" ht="15.75" customHeight="1" x14ac:dyDescent="0.25">
      <c r="N116" s="2"/>
      <c r="O116" s="28"/>
      <c r="P116" s="28"/>
      <c r="Q116" s="3"/>
    </row>
    <row r="117" spans="14:17" ht="15.75" customHeight="1" x14ac:dyDescent="0.25">
      <c r="N117" s="2"/>
      <c r="O117" s="28"/>
      <c r="P117" s="28"/>
      <c r="Q117" s="3"/>
    </row>
    <row r="118" spans="14:17" ht="15.75" customHeight="1" x14ac:dyDescent="0.25">
      <c r="N118" s="2"/>
      <c r="O118" s="28"/>
      <c r="P118" s="28"/>
      <c r="Q118" s="2"/>
    </row>
    <row r="119" spans="14:17" ht="15.75" customHeight="1" x14ac:dyDescent="0.25">
      <c r="N119" s="2"/>
      <c r="O119" s="28"/>
      <c r="P119" s="28"/>
      <c r="Q119" s="3"/>
    </row>
    <row r="120" spans="14:17" ht="15.75" customHeight="1" x14ac:dyDescent="0.25">
      <c r="N120" s="2"/>
      <c r="O120" s="28"/>
      <c r="P120" s="28"/>
      <c r="Q120" s="3"/>
    </row>
    <row r="121" spans="14:17" ht="15.75" customHeight="1" x14ac:dyDescent="0.25">
      <c r="N121" s="2"/>
      <c r="O121" s="28"/>
      <c r="P121" s="28"/>
      <c r="Q121" s="3"/>
    </row>
    <row r="122" spans="14:17" ht="15.75" customHeight="1" x14ac:dyDescent="0.25">
      <c r="N122" s="2"/>
      <c r="O122" s="28"/>
      <c r="P122" s="28"/>
      <c r="Q122" s="3"/>
    </row>
    <row r="123" spans="14:17" ht="15.75" customHeight="1" x14ac:dyDescent="0.25">
      <c r="N123" s="2"/>
      <c r="O123" s="28"/>
      <c r="P123" s="28"/>
      <c r="Q123" s="3"/>
    </row>
    <row r="124" spans="14:17" ht="15.75" customHeight="1" x14ac:dyDescent="0.25">
      <c r="N124" s="2"/>
      <c r="O124" s="28"/>
      <c r="P124" s="28"/>
      <c r="Q124" s="3"/>
    </row>
    <row r="125" spans="14:17" ht="15.75" customHeight="1" x14ac:dyDescent="0.25">
      <c r="N125" s="2"/>
      <c r="O125" s="28"/>
      <c r="P125" s="28"/>
      <c r="Q125" s="3"/>
    </row>
    <row r="126" spans="14:17" ht="15.75" customHeight="1" x14ac:dyDescent="0.25">
      <c r="N126" s="2"/>
      <c r="O126" s="28"/>
      <c r="P126" s="28"/>
      <c r="Q126" s="3"/>
    </row>
    <row r="127" spans="14:17" ht="15.75" customHeight="1" x14ac:dyDescent="0.25">
      <c r="N127" s="2"/>
      <c r="O127" s="28"/>
      <c r="P127" s="28"/>
      <c r="Q127" s="3"/>
    </row>
    <row r="128" spans="14:17" ht="15.75" customHeight="1" x14ac:dyDescent="0.25">
      <c r="N128" s="2"/>
      <c r="O128" s="28"/>
      <c r="P128" s="28"/>
      <c r="Q128" s="3"/>
    </row>
    <row r="129" spans="14:17" ht="15.75" customHeight="1" x14ac:dyDescent="0.25">
      <c r="N129" s="2"/>
      <c r="O129" s="28"/>
      <c r="P129" s="28"/>
      <c r="Q129" s="3"/>
    </row>
    <row r="130" spans="14:17" ht="15.75" customHeight="1" x14ac:dyDescent="0.25">
      <c r="N130" s="2"/>
      <c r="O130" s="28"/>
      <c r="P130" s="28"/>
      <c r="Q130" s="2"/>
    </row>
    <row r="131" spans="14:17" ht="15.75" customHeight="1" x14ac:dyDescent="0.25">
      <c r="N131" s="2"/>
      <c r="O131" s="28"/>
      <c r="P131" s="28"/>
      <c r="Q131" s="3"/>
    </row>
    <row r="132" spans="14:17" ht="15.75" customHeight="1" x14ac:dyDescent="0.25">
      <c r="N132" s="2"/>
      <c r="O132" s="28"/>
      <c r="P132" s="28"/>
      <c r="Q132" s="3"/>
    </row>
    <row r="133" spans="14:17" ht="15.75" customHeight="1" x14ac:dyDescent="0.25">
      <c r="N133" s="2"/>
      <c r="O133" s="28"/>
      <c r="P133" s="28"/>
      <c r="Q133" s="3"/>
    </row>
    <row r="134" spans="14:17" ht="15.75" customHeight="1" x14ac:dyDescent="0.25">
      <c r="N134" s="2"/>
      <c r="O134" s="28"/>
      <c r="P134" s="28"/>
      <c r="Q134" s="3"/>
    </row>
    <row r="135" spans="14:17" ht="15.75" customHeight="1" x14ac:dyDescent="0.25">
      <c r="N135" s="2"/>
      <c r="O135" s="28"/>
      <c r="P135" s="28"/>
      <c r="Q135" s="2"/>
    </row>
    <row r="136" spans="14:17" ht="15.75" customHeight="1" x14ac:dyDescent="0.25">
      <c r="N136" s="2"/>
      <c r="O136" s="28"/>
      <c r="P136" s="28"/>
      <c r="Q136" s="3"/>
    </row>
    <row r="137" spans="14:17" ht="15.75" customHeight="1" x14ac:dyDescent="0.25">
      <c r="N137" s="2"/>
      <c r="O137" s="28"/>
      <c r="P137" s="28"/>
      <c r="Q137" s="3"/>
    </row>
    <row r="138" spans="14:17" ht="15.75" customHeight="1" x14ac:dyDescent="0.25">
      <c r="N138" s="2"/>
      <c r="O138" s="28"/>
      <c r="P138" s="28"/>
      <c r="Q138" s="3"/>
    </row>
    <row r="139" spans="14:17" ht="15.75" customHeight="1" x14ac:dyDescent="0.25">
      <c r="N139" s="2"/>
      <c r="O139" s="28"/>
      <c r="P139" s="28"/>
      <c r="Q139" s="3"/>
    </row>
    <row r="140" spans="14:17" ht="15.75" customHeight="1" x14ac:dyDescent="0.25">
      <c r="N140" s="2"/>
      <c r="O140" s="28"/>
      <c r="P140" s="28"/>
      <c r="Q140" s="3"/>
    </row>
    <row r="141" spans="14:17" ht="15.75" customHeight="1" x14ac:dyDescent="0.25">
      <c r="N141" s="2"/>
      <c r="O141" s="28"/>
      <c r="P141" s="28"/>
      <c r="Q141" s="3"/>
    </row>
    <row r="142" spans="14:17" ht="15.75" customHeight="1" x14ac:dyDescent="0.25">
      <c r="N142" s="2"/>
      <c r="O142" s="28"/>
      <c r="P142" s="28"/>
      <c r="Q142" s="3"/>
    </row>
    <row r="143" spans="14:17" ht="15.75" customHeight="1" x14ac:dyDescent="0.25">
      <c r="N143" s="2"/>
      <c r="O143" s="28"/>
      <c r="P143" s="28"/>
      <c r="Q143" s="3"/>
    </row>
    <row r="144" spans="14:17" ht="15.75" customHeight="1" x14ac:dyDescent="0.25">
      <c r="N144" s="29"/>
      <c r="O144" s="29"/>
      <c r="P144" s="29"/>
      <c r="Q144" s="29"/>
    </row>
    <row r="145" spans="14:17" ht="15.75" customHeight="1" x14ac:dyDescent="0.25">
      <c r="N145" s="29"/>
      <c r="O145" s="29"/>
      <c r="P145" s="29"/>
      <c r="Q145" s="29"/>
    </row>
    <row r="146" spans="14:17" ht="15.75" customHeight="1" x14ac:dyDescent="0.25">
      <c r="N146" s="29"/>
      <c r="O146" s="29"/>
      <c r="P146" s="29"/>
      <c r="Q146" s="29"/>
    </row>
    <row r="147" spans="14:17" ht="15.75" customHeight="1" x14ac:dyDescent="0.25">
      <c r="N147" s="29"/>
      <c r="O147" s="29"/>
      <c r="P147" s="29"/>
      <c r="Q147" s="29"/>
    </row>
    <row r="148" spans="14:17" ht="15.75" customHeight="1" x14ac:dyDescent="0.25">
      <c r="N148" s="29"/>
      <c r="O148" s="29"/>
      <c r="P148" s="29"/>
      <c r="Q148" s="29"/>
    </row>
    <row r="149" spans="14:17" ht="15.75" customHeight="1" x14ac:dyDescent="0.25">
      <c r="N149" s="29"/>
      <c r="O149" s="29"/>
      <c r="P149" s="29"/>
      <c r="Q149" s="29"/>
    </row>
    <row r="150" spans="14:17" ht="15.75" customHeight="1" x14ac:dyDescent="0.25">
      <c r="N150" s="29"/>
      <c r="O150" s="29"/>
      <c r="P150" s="29"/>
      <c r="Q150" s="29"/>
    </row>
    <row r="151" spans="14:17" ht="15.75" customHeight="1" x14ac:dyDescent="0.25">
      <c r="N151" s="29"/>
      <c r="O151" s="29"/>
      <c r="P151" s="29"/>
      <c r="Q151" s="29"/>
    </row>
    <row r="152" spans="14:17" ht="15.75" customHeight="1" x14ac:dyDescent="0.25">
      <c r="N152" s="29"/>
      <c r="O152" s="29"/>
      <c r="P152" s="29"/>
      <c r="Q152" s="29"/>
    </row>
    <row r="153" spans="14:17" ht="15.75" customHeight="1" x14ac:dyDescent="0.25">
      <c r="N153" s="29"/>
      <c r="O153" s="29"/>
      <c r="P153" s="29"/>
      <c r="Q153" s="29"/>
    </row>
    <row r="154" spans="14:17" ht="15.75" customHeight="1" x14ac:dyDescent="0.25">
      <c r="N154" s="29"/>
      <c r="O154" s="29"/>
      <c r="P154" s="29"/>
      <c r="Q154" s="29"/>
    </row>
    <row r="155" spans="14:17" ht="15.75" customHeight="1" x14ac:dyDescent="0.25">
      <c r="N155" s="29"/>
      <c r="O155" s="29"/>
      <c r="P155" s="29"/>
      <c r="Q155" s="29"/>
    </row>
    <row r="156" spans="14:17" ht="15.75" customHeight="1" x14ac:dyDescent="0.25">
      <c r="N156" s="29"/>
      <c r="O156" s="29"/>
      <c r="P156" s="29"/>
      <c r="Q156" s="29"/>
    </row>
    <row r="157" spans="14:17" ht="15.75" customHeight="1" x14ac:dyDescent="0.25">
      <c r="N157" s="29"/>
      <c r="O157" s="29"/>
      <c r="P157" s="29"/>
      <c r="Q157" s="29"/>
    </row>
    <row r="158" spans="14:17" ht="15.75" customHeight="1" x14ac:dyDescent="0.25">
      <c r="N158" s="29"/>
      <c r="O158" s="29"/>
      <c r="P158" s="29"/>
      <c r="Q158" s="29"/>
    </row>
    <row r="159" spans="14:17" ht="15.75" customHeight="1" x14ac:dyDescent="0.25">
      <c r="N159" s="29"/>
      <c r="O159" s="29"/>
      <c r="P159" s="29"/>
      <c r="Q159" s="29"/>
    </row>
    <row r="160" spans="14:17" ht="15.75" customHeight="1" x14ac:dyDescent="0.25">
      <c r="N160" s="29"/>
      <c r="O160" s="29"/>
      <c r="P160" s="29"/>
      <c r="Q160" s="29"/>
    </row>
    <row r="161" spans="14:17" ht="15.75" customHeight="1" x14ac:dyDescent="0.25">
      <c r="N161" s="29"/>
      <c r="O161" s="29"/>
      <c r="P161" s="29"/>
      <c r="Q161" s="29"/>
    </row>
    <row r="162" spans="14:17" ht="15.75" customHeight="1" x14ac:dyDescent="0.25">
      <c r="N162" s="29"/>
      <c r="O162" s="29"/>
      <c r="P162" s="29"/>
      <c r="Q162" s="29"/>
    </row>
    <row r="163" spans="14:17" ht="15.75" customHeight="1" x14ac:dyDescent="0.25">
      <c r="N163" s="29"/>
      <c r="O163" s="29"/>
      <c r="P163" s="29"/>
      <c r="Q163" s="29"/>
    </row>
    <row r="164" spans="14:17" ht="15.75" customHeight="1" x14ac:dyDescent="0.25">
      <c r="N164" s="29"/>
      <c r="O164" s="29"/>
      <c r="P164" s="29"/>
      <c r="Q164" s="29"/>
    </row>
    <row r="165" spans="14:17" ht="15.75" customHeight="1" x14ac:dyDescent="0.25">
      <c r="N165" s="29"/>
      <c r="O165" s="29"/>
      <c r="P165" s="29"/>
      <c r="Q165" s="29"/>
    </row>
    <row r="166" spans="14:17" ht="15.75" customHeight="1" x14ac:dyDescent="0.25">
      <c r="N166" s="29"/>
      <c r="O166" s="29"/>
      <c r="P166" s="29"/>
      <c r="Q166" s="29"/>
    </row>
    <row r="167" spans="14:17" ht="15.75" customHeight="1" x14ac:dyDescent="0.25">
      <c r="N167" s="29"/>
      <c r="O167" s="29"/>
      <c r="P167" s="29"/>
      <c r="Q167" s="29"/>
    </row>
    <row r="168" spans="14:17" ht="15.75" customHeight="1" x14ac:dyDescent="0.25">
      <c r="N168" s="29"/>
      <c r="O168" s="29"/>
      <c r="P168" s="29"/>
      <c r="Q168" s="29"/>
    </row>
    <row r="169" spans="14:17" ht="15.75" customHeight="1" x14ac:dyDescent="0.25">
      <c r="N169" s="29"/>
      <c r="O169" s="29"/>
      <c r="P169" s="29"/>
      <c r="Q169" s="29"/>
    </row>
    <row r="170" spans="14:17" ht="15.75" customHeight="1" x14ac:dyDescent="0.25">
      <c r="N170" s="29"/>
      <c r="O170" s="29"/>
      <c r="P170" s="29"/>
      <c r="Q170" s="29"/>
    </row>
    <row r="171" spans="14:17" ht="15.75" customHeight="1" x14ac:dyDescent="0.25">
      <c r="N171" s="29"/>
      <c r="O171" s="29"/>
      <c r="P171" s="29"/>
      <c r="Q171" s="29"/>
    </row>
    <row r="172" spans="14:17" ht="15.75" customHeight="1" x14ac:dyDescent="0.25">
      <c r="N172" s="29"/>
      <c r="O172" s="29"/>
      <c r="P172" s="29"/>
      <c r="Q172" s="29"/>
    </row>
    <row r="173" spans="14:17" ht="15.75" customHeight="1" x14ac:dyDescent="0.25">
      <c r="N173" s="29"/>
      <c r="O173" s="29"/>
      <c r="P173" s="29"/>
      <c r="Q173" s="29"/>
    </row>
    <row r="174" spans="14:17" ht="15.75" customHeight="1" x14ac:dyDescent="0.25">
      <c r="N174" s="29"/>
      <c r="O174" s="29"/>
      <c r="P174" s="29"/>
      <c r="Q174" s="29"/>
    </row>
    <row r="175" spans="14:17" ht="15.75" customHeight="1" x14ac:dyDescent="0.25">
      <c r="N175" s="29"/>
      <c r="O175" s="29"/>
      <c r="P175" s="29"/>
      <c r="Q175" s="29"/>
    </row>
    <row r="176" spans="14:17" ht="15.75" customHeight="1" x14ac:dyDescent="0.25">
      <c r="N176" s="29"/>
      <c r="O176" s="29"/>
      <c r="P176" s="29"/>
      <c r="Q176" s="29"/>
    </row>
    <row r="177" spans="14:17" ht="15.75" customHeight="1" x14ac:dyDescent="0.25">
      <c r="N177" s="29"/>
      <c r="O177" s="29"/>
      <c r="P177" s="29"/>
      <c r="Q177" s="29"/>
    </row>
    <row r="178" spans="14:17" ht="15.75" customHeight="1" x14ac:dyDescent="0.25">
      <c r="N178" s="29"/>
      <c r="O178" s="29"/>
      <c r="P178" s="29"/>
      <c r="Q178" s="29"/>
    </row>
    <row r="179" spans="14:17" ht="15.75" customHeight="1" x14ac:dyDescent="0.25">
      <c r="N179" s="29"/>
      <c r="O179" s="29"/>
      <c r="P179" s="29"/>
      <c r="Q179" s="29"/>
    </row>
    <row r="180" spans="14:17" ht="15.75" customHeight="1" x14ac:dyDescent="0.25">
      <c r="N180" s="29"/>
      <c r="O180" s="29"/>
      <c r="P180" s="29"/>
      <c r="Q180" s="29"/>
    </row>
    <row r="181" spans="14:17" ht="15.75" customHeight="1" x14ac:dyDescent="0.25">
      <c r="N181" s="29"/>
      <c r="O181" s="29"/>
      <c r="P181" s="29"/>
      <c r="Q181" s="29"/>
    </row>
    <row r="182" spans="14:17" ht="15.75" customHeight="1" x14ac:dyDescent="0.25">
      <c r="N182" s="29"/>
      <c r="O182" s="29"/>
      <c r="P182" s="29"/>
      <c r="Q182" s="29"/>
    </row>
    <row r="183" spans="14:17" ht="15.75" customHeight="1" x14ac:dyDescent="0.25">
      <c r="N183" s="29"/>
      <c r="O183" s="29"/>
      <c r="P183" s="29"/>
      <c r="Q183" s="29"/>
    </row>
    <row r="184" spans="14:17" ht="15.75" customHeight="1" x14ac:dyDescent="0.25">
      <c r="N184" s="29"/>
      <c r="O184" s="29"/>
      <c r="P184" s="29"/>
      <c r="Q184" s="29"/>
    </row>
    <row r="185" spans="14:17" ht="15.75" customHeight="1" x14ac:dyDescent="0.25">
      <c r="N185" s="29"/>
      <c r="O185" s="29"/>
      <c r="P185" s="29"/>
      <c r="Q185" s="29"/>
    </row>
    <row r="186" spans="14:17" ht="15.75" customHeight="1" x14ac:dyDescent="0.25">
      <c r="N186" s="29"/>
      <c r="O186" s="29"/>
      <c r="P186" s="29"/>
      <c r="Q186" s="29"/>
    </row>
    <row r="187" spans="14:17" ht="15.75" customHeight="1" x14ac:dyDescent="0.25">
      <c r="N187" s="29"/>
      <c r="O187" s="29"/>
      <c r="P187" s="29"/>
      <c r="Q187" s="29"/>
    </row>
    <row r="188" spans="14:17" ht="15.75" customHeight="1" x14ac:dyDescent="0.25">
      <c r="N188" s="29"/>
      <c r="O188" s="29"/>
      <c r="P188" s="29"/>
      <c r="Q188" s="29"/>
    </row>
    <row r="189" spans="14:17" ht="15.75" customHeight="1" x14ac:dyDescent="0.25">
      <c r="N189" s="29"/>
      <c r="O189" s="29"/>
      <c r="P189" s="29"/>
      <c r="Q189" s="29"/>
    </row>
    <row r="190" spans="14:17" ht="15.75" customHeight="1" x14ac:dyDescent="0.25">
      <c r="N190" s="29"/>
      <c r="O190" s="29"/>
      <c r="P190" s="29"/>
      <c r="Q190" s="29"/>
    </row>
    <row r="191" spans="14:17" ht="15.75" customHeight="1" x14ac:dyDescent="0.25">
      <c r="N191" s="29"/>
      <c r="O191" s="29"/>
      <c r="P191" s="29"/>
      <c r="Q191" s="29"/>
    </row>
    <row r="192" spans="14:17" ht="15.75" customHeight="1" x14ac:dyDescent="0.25">
      <c r="N192" s="29"/>
      <c r="O192" s="29"/>
      <c r="P192" s="29"/>
      <c r="Q192" s="29"/>
    </row>
    <row r="193" spans="14:17" ht="15.75" customHeight="1" x14ac:dyDescent="0.25">
      <c r="N193" s="29"/>
      <c r="O193" s="29"/>
      <c r="P193" s="29"/>
      <c r="Q193" s="29"/>
    </row>
    <row r="194" spans="14:17" ht="15.75" customHeight="1" x14ac:dyDescent="0.25">
      <c r="N194" s="29"/>
      <c r="O194" s="29"/>
      <c r="P194" s="29"/>
      <c r="Q194" s="29"/>
    </row>
    <row r="195" spans="14:17" ht="15.75" customHeight="1" x14ac:dyDescent="0.25">
      <c r="N195" s="29"/>
      <c r="O195" s="29"/>
      <c r="P195" s="29"/>
      <c r="Q195" s="29"/>
    </row>
    <row r="196" spans="14:17" ht="15.75" customHeight="1" x14ac:dyDescent="0.25">
      <c r="N196" s="29"/>
      <c r="O196" s="29"/>
      <c r="P196" s="29"/>
      <c r="Q196" s="29"/>
    </row>
    <row r="197" spans="14:17" ht="15.75" customHeight="1" x14ac:dyDescent="0.25">
      <c r="N197" s="29"/>
      <c r="O197" s="29"/>
      <c r="P197" s="29"/>
      <c r="Q197" s="29"/>
    </row>
    <row r="198" spans="14:17" ht="15.75" customHeight="1" x14ac:dyDescent="0.25">
      <c r="N198" s="29"/>
      <c r="O198" s="29"/>
      <c r="P198" s="29"/>
      <c r="Q198" s="29"/>
    </row>
    <row r="199" spans="14:17" ht="15.75" customHeight="1" x14ac:dyDescent="0.25">
      <c r="N199" s="29"/>
      <c r="O199" s="29"/>
      <c r="P199" s="29"/>
      <c r="Q199" s="29"/>
    </row>
    <row r="200" spans="14:17" ht="15.75" customHeight="1" x14ac:dyDescent="0.25">
      <c r="N200" s="29"/>
      <c r="O200" s="29"/>
      <c r="P200" s="29"/>
      <c r="Q200" s="29"/>
    </row>
    <row r="201" spans="14:17" ht="15.75" customHeight="1" x14ac:dyDescent="0.25">
      <c r="N201" s="29"/>
      <c r="O201" s="29"/>
      <c r="P201" s="29"/>
      <c r="Q201" s="29"/>
    </row>
    <row r="202" spans="14:17" ht="15.75" customHeight="1" x14ac:dyDescent="0.25">
      <c r="N202" s="29"/>
      <c r="O202" s="29"/>
      <c r="P202" s="29"/>
      <c r="Q202" s="29"/>
    </row>
    <row r="203" spans="14:17" ht="15.75" customHeight="1" x14ac:dyDescent="0.25">
      <c r="N203" s="29"/>
      <c r="O203" s="29"/>
      <c r="P203" s="29"/>
      <c r="Q203" s="29"/>
    </row>
    <row r="204" spans="14:17" ht="15.75" customHeight="1" x14ac:dyDescent="0.25">
      <c r="N204" s="29"/>
      <c r="O204" s="29"/>
      <c r="P204" s="29"/>
      <c r="Q204" s="29"/>
    </row>
    <row r="205" spans="14:17" ht="15.75" customHeight="1" x14ac:dyDescent="0.25">
      <c r="N205" s="29"/>
      <c r="O205" s="29"/>
      <c r="P205" s="29"/>
      <c r="Q205" s="29"/>
    </row>
    <row r="206" spans="14:17" ht="15.75" customHeight="1" x14ac:dyDescent="0.25">
      <c r="N206" s="29"/>
      <c r="O206" s="29"/>
      <c r="P206" s="29"/>
      <c r="Q206" s="29"/>
    </row>
    <row r="207" spans="14:17" ht="15.75" customHeight="1" x14ac:dyDescent="0.25">
      <c r="N207" s="29"/>
      <c r="O207" s="29"/>
      <c r="P207" s="29"/>
      <c r="Q207" s="29"/>
    </row>
    <row r="208" spans="14:17" ht="15.75" customHeight="1" x14ac:dyDescent="0.25">
      <c r="N208" s="29"/>
      <c r="O208" s="29"/>
      <c r="P208" s="29"/>
      <c r="Q208" s="29"/>
    </row>
    <row r="209" spans="14:17" ht="15.75" customHeight="1" x14ac:dyDescent="0.25">
      <c r="N209" s="29"/>
      <c r="O209" s="29"/>
      <c r="P209" s="29"/>
      <c r="Q209" s="29"/>
    </row>
    <row r="210" spans="14:17" ht="15.75" customHeight="1" x14ac:dyDescent="0.25">
      <c r="N210" s="29"/>
      <c r="O210" s="29"/>
      <c r="P210" s="29"/>
      <c r="Q210" s="29"/>
    </row>
    <row r="211" spans="14:17" ht="15.75" customHeight="1" x14ac:dyDescent="0.25">
      <c r="N211" s="29"/>
      <c r="O211" s="29"/>
      <c r="P211" s="29"/>
      <c r="Q211" s="29"/>
    </row>
    <row r="212" spans="14:17" ht="15.75" customHeight="1" x14ac:dyDescent="0.25">
      <c r="N212" s="29"/>
      <c r="O212" s="29"/>
      <c r="P212" s="29"/>
      <c r="Q212" s="29"/>
    </row>
    <row r="213" spans="14:17" ht="15.75" customHeight="1" x14ac:dyDescent="0.25">
      <c r="N213" s="29"/>
      <c r="O213" s="29"/>
      <c r="P213" s="29"/>
      <c r="Q213" s="29"/>
    </row>
    <row r="214" spans="14:17" ht="15.75" customHeight="1" x14ac:dyDescent="0.25">
      <c r="N214" s="29"/>
      <c r="O214" s="29"/>
      <c r="P214" s="29"/>
      <c r="Q214" s="29"/>
    </row>
    <row r="215" spans="14:17" ht="15.75" customHeight="1" x14ac:dyDescent="0.25">
      <c r="N215" s="29"/>
      <c r="O215" s="29"/>
      <c r="P215" s="29"/>
      <c r="Q215" s="29"/>
    </row>
    <row r="216" spans="14:17" ht="15.75" customHeight="1" x14ac:dyDescent="0.25">
      <c r="N216" s="29"/>
      <c r="O216" s="29"/>
      <c r="P216" s="29"/>
      <c r="Q216" s="29"/>
    </row>
    <row r="217" spans="14:17" ht="15.75" customHeight="1" x14ac:dyDescent="0.25">
      <c r="N217" s="29"/>
      <c r="O217" s="29"/>
      <c r="P217" s="29"/>
      <c r="Q217" s="29"/>
    </row>
    <row r="218" spans="14:17" ht="15.75" customHeight="1" x14ac:dyDescent="0.25">
      <c r="N218" s="29"/>
      <c r="O218" s="29"/>
      <c r="P218" s="29"/>
      <c r="Q218" s="29"/>
    </row>
    <row r="219" spans="14:17" ht="15.75" customHeight="1" x14ac:dyDescent="0.25">
      <c r="N219" s="29"/>
      <c r="O219" s="29"/>
      <c r="P219" s="29"/>
      <c r="Q219" s="29"/>
    </row>
    <row r="220" spans="14:17" ht="15.75" customHeight="1" x14ac:dyDescent="0.25">
      <c r="N220" s="29"/>
      <c r="O220" s="29"/>
      <c r="P220" s="29"/>
      <c r="Q220" s="29"/>
    </row>
    <row r="221" spans="14:17" ht="15.75" customHeight="1" x14ac:dyDescent="0.25">
      <c r="N221" s="29"/>
      <c r="O221" s="29"/>
      <c r="P221" s="29"/>
      <c r="Q221" s="29"/>
    </row>
    <row r="222" spans="14:17" ht="15.75" customHeight="1" x14ac:dyDescent="0.25">
      <c r="N222" s="29"/>
      <c r="O222" s="29"/>
      <c r="P222" s="29"/>
      <c r="Q222" s="29"/>
    </row>
    <row r="223" spans="14:17" ht="15.75" customHeight="1" x14ac:dyDescent="0.25">
      <c r="N223" s="29"/>
      <c r="O223" s="29"/>
      <c r="P223" s="29"/>
      <c r="Q223" s="29"/>
    </row>
    <row r="224" spans="14:17" ht="15.75" customHeight="1" x14ac:dyDescent="0.25">
      <c r="N224" s="29"/>
      <c r="O224" s="29"/>
      <c r="P224" s="29"/>
      <c r="Q224" s="29"/>
    </row>
    <row r="225" spans="14:17" ht="15.75" customHeight="1" x14ac:dyDescent="0.25">
      <c r="N225" s="29"/>
      <c r="O225" s="29"/>
      <c r="P225" s="29"/>
      <c r="Q225" s="29"/>
    </row>
    <row r="226" spans="14:17" ht="15.75" customHeight="1" x14ac:dyDescent="0.25">
      <c r="N226" s="29"/>
      <c r="O226" s="29"/>
      <c r="P226" s="29"/>
      <c r="Q226" s="29"/>
    </row>
    <row r="227" spans="14:17" ht="15.75" customHeight="1" x14ac:dyDescent="0.25">
      <c r="N227" s="29"/>
      <c r="O227" s="29"/>
      <c r="P227" s="29"/>
      <c r="Q227" s="29"/>
    </row>
    <row r="228" spans="14:17" ht="15.75" customHeight="1" x14ac:dyDescent="0.25">
      <c r="N228" s="29"/>
      <c r="O228" s="29"/>
      <c r="P228" s="29"/>
      <c r="Q228" s="29"/>
    </row>
    <row r="229" spans="14:17" ht="15.75" customHeight="1" x14ac:dyDescent="0.25">
      <c r="N229" s="29"/>
      <c r="O229" s="29"/>
      <c r="P229" s="29"/>
      <c r="Q229" s="29"/>
    </row>
    <row r="230" spans="14:17" ht="15.75" customHeight="1" x14ac:dyDescent="0.25">
      <c r="N230" s="29"/>
      <c r="O230" s="29"/>
      <c r="P230" s="29"/>
      <c r="Q230" s="29"/>
    </row>
    <row r="231" spans="14:17" ht="15.75" customHeight="1" x14ac:dyDescent="0.25">
      <c r="N231" s="29"/>
      <c r="O231" s="29"/>
      <c r="P231" s="29"/>
      <c r="Q231" s="29"/>
    </row>
    <row r="232" spans="14:17" ht="15.75" customHeight="1" x14ac:dyDescent="0.25">
      <c r="N232" s="29"/>
      <c r="O232" s="29"/>
      <c r="P232" s="29"/>
      <c r="Q232" s="29"/>
    </row>
    <row r="233" spans="14:17" ht="15.75" customHeight="1" x14ac:dyDescent="0.25">
      <c r="N233" s="29"/>
      <c r="O233" s="29"/>
      <c r="P233" s="29"/>
      <c r="Q233" s="29"/>
    </row>
    <row r="234" spans="14:17" ht="15.75" customHeight="1" x14ac:dyDescent="0.25">
      <c r="N234" s="29"/>
      <c r="O234" s="29"/>
      <c r="P234" s="29"/>
      <c r="Q234" s="29"/>
    </row>
    <row r="235" spans="14:17" ht="15.75" customHeight="1" x14ac:dyDescent="0.25">
      <c r="N235" s="29"/>
      <c r="O235" s="29"/>
      <c r="P235" s="29"/>
      <c r="Q235" s="29"/>
    </row>
    <row r="236" spans="14:17" ht="15.75" customHeight="1" x14ac:dyDescent="0.25">
      <c r="N236" s="29"/>
      <c r="O236" s="29"/>
      <c r="P236" s="29"/>
      <c r="Q236" s="29"/>
    </row>
    <row r="237" spans="14:17" ht="15.75" customHeight="1" x14ac:dyDescent="0.25">
      <c r="N237" s="29"/>
      <c r="O237" s="29"/>
      <c r="P237" s="29"/>
      <c r="Q237" s="29"/>
    </row>
    <row r="238" spans="14:17" ht="15.75" customHeight="1" x14ac:dyDescent="0.25">
      <c r="N238" s="29"/>
      <c r="O238" s="29"/>
      <c r="P238" s="29"/>
      <c r="Q238" s="29"/>
    </row>
    <row r="239" spans="14:17" ht="15.75" customHeight="1" x14ac:dyDescent="0.25">
      <c r="N239" s="29"/>
      <c r="O239" s="29"/>
      <c r="P239" s="29"/>
      <c r="Q239" s="29"/>
    </row>
    <row r="240" spans="14:17" ht="15.75" customHeight="1" x14ac:dyDescent="0.25">
      <c r="N240" s="29"/>
      <c r="O240" s="29"/>
      <c r="P240" s="29"/>
      <c r="Q240" s="29"/>
    </row>
    <row r="241" spans="14:17" ht="15.75" customHeight="1" x14ac:dyDescent="0.25">
      <c r="N241" s="29"/>
      <c r="O241" s="29"/>
      <c r="P241" s="29"/>
      <c r="Q241" s="29"/>
    </row>
    <row r="242" spans="14:17" ht="15.75" customHeight="1" x14ac:dyDescent="0.25">
      <c r="N242" s="29"/>
      <c r="O242" s="29"/>
      <c r="P242" s="29"/>
      <c r="Q242" s="29"/>
    </row>
    <row r="243" spans="14:17" ht="15.75" customHeight="1" x14ac:dyDescent="0.25">
      <c r="N243" s="29"/>
      <c r="O243" s="29"/>
      <c r="P243" s="29"/>
      <c r="Q243" s="29"/>
    </row>
    <row r="244" spans="14:17" ht="15.75" customHeight="1" x14ac:dyDescent="0.25">
      <c r="N244" s="29"/>
      <c r="O244" s="29"/>
      <c r="P244" s="29"/>
      <c r="Q244" s="29"/>
    </row>
    <row r="245" spans="14:17" ht="15.75" customHeight="1" x14ac:dyDescent="0.25">
      <c r="N245" s="29"/>
      <c r="O245" s="29"/>
      <c r="P245" s="29"/>
      <c r="Q245" s="29"/>
    </row>
    <row r="246" spans="14:17" ht="15.75" customHeight="1" x14ac:dyDescent="0.25">
      <c r="N246" s="29"/>
      <c r="O246" s="29"/>
      <c r="P246" s="29"/>
      <c r="Q246" s="29"/>
    </row>
    <row r="247" spans="14:17" ht="15.75" customHeight="1" x14ac:dyDescent="0.25">
      <c r="N247" s="29"/>
      <c r="O247" s="29"/>
      <c r="P247" s="29"/>
      <c r="Q247" s="29"/>
    </row>
    <row r="248" spans="14:17" ht="15.75" customHeight="1" x14ac:dyDescent="0.25">
      <c r="N248" s="29"/>
      <c r="O248" s="29"/>
      <c r="P248" s="29"/>
      <c r="Q248" s="29"/>
    </row>
    <row r="249" spans="14:17" ht="15.75" customHeight="1" x14ac:dyDescent="0.25">
      <c r="N249" s="29"/>
      <c r="O249" s="29"/>
      <c r="P249" s="29"/>
      <c r="Q249" s="29"/>
    </row>
    <row r="250" spans="14:17" ht="15.75" customHeight="1" x14ac:dyDescent="0.25">
      <c r="N250" s="29"/>
      <c r="O250" s="29"/>
      <c r="P250" s="29"/>
      <c r="Q250" s="29"/>
    </row>
    <row r="251" spans="14:17" ht="15.75" customHeight="1" x14ac:dyDescent="0.25">
      <c r="N251" s="29"/>
      <c r="O251" s="29"/>
      <c r="P251" s="29"/>
      <c r="Q251" s="29"/>
    </row>
    <row r="252" spans="14:17" ht="15.75" customHeight="1" x14ac:dyDescent="0.25">
      <c r="N252" s="29"/>
      <c r="O252" s="29"/>
      <c r="P252" s="29"/>
      <c r="Q252" s="29"/>
    </row>
    <row r="253" spans="14:17" ht="15.75" customHeight="1" x14ac:dyDescent="0.25">
      <c r="N253" s="29"/>
      <c r="O253" s="29"/>
      <c r="P253" s="29"/>
      <c r="Q253" s="29"/>
    </row>
    <row r="254" spans="14:17" ht="15.75" customHeight="1" x14ac:dyDescent="0.25">
      <c r="N254" s="29"/>
      <c r="O254" s="29"/>
      <c r="P254" s="29"/>
      <c r="Q254" s="29"/>
    </row>
    <row r="255" spans="14:17" ht="15.75" customHeight="1" x14ac:dyDescent="0.25">
      <c r="N255" s="29"/>
      <c r="O255" s="29"/>
      <c r="P255" s="29"/>
      <c r="Q255" s="29"/>
    </row>
    <row r="256" spans="14:17" ht="15.75" customHeight="1" x14ac:dyDescent="0.25">
      <c r="N256" s="29"/>
      <c r="O256" s="29"/>
      <c r="P256" s="29"/>
      <c r="Q256" s="29"/>
    </row>
    <row r="257" spans="14:17" ht="15.75" customHeight="1" x14ac:dyDescent="0.25">
      <c r="N257" s="29"/>
      <c r="O257" s="29"/>
      <c r="P257" s="29"/>
      <c r="Q257" s="29"/>
    </row>
    <row r="258" spans="14:17" ht="15.75" customHeight="1" x14ac:dyDescent="0.25">
      <c r="N258" s="29"/>
      <c r="O258" s="29"/>
      <c r="P258" s="29"/>
      <c r="Q258" s="29"/>
    </row>
    <row r="259" spans="14:17" ht="15.75" customHeight="1" x14ac:dyDescent="0.25">
      <c r="N259" s="29"/>
      <c r="O259" s="29"/>
      <c r="P259" s="29"/>
      <c r="Q259" s="29"/>
    </row>
    <row r="260" spans="14:17" ht="15.75" customHeight="1" x14ac:dyDescent="0.25">
      <c r="N260" s="29"/>
      <c r="O260" s="29"/>
      <c r="P260" s="29"/>
      <c r="Q260" s="29"/>
    </row>
    <row r="261" spans="14:17" ht="15.75" customHeight="1" x14ac:dyDescent="0.25">
      <c r="N261" s="29"/>
      <c r="O261" s="29"/>
      <c r="P261" s="29"/>
      <c r="Q261" s="29"/>
    </row>
    <row r="262" spans="14:17" ht="15.75" customHeight="1" x14ac:dyDescent="0.25">
      <c r="N262" s="29"/>
      <c r="O262" s="29"/>
      <c r="P262" s="29"/>
      <c r="Q262" s="29"/>
    </row>
    <row r="263" spans="14:17" ht="15.75" customHeight="1" x14ac:dyDescent="0.25">
      <c r="N263" s="29"/>
      <c r="O263" s="29"/>
      <c r="P263" s="29"/>
      <c r="Q263" s="29"/>
    </row>
    <row r="264" spans="14:17" ht="15.75" customHeight="1" x14ac:dyDescent="0.25">
      <c r="N264" s="29"/>
      <c r="O264" s="29"/>
      <c r="P264" s="29"/>
      <c r="Q264" s="29"/>
    </row>
    <row r="265" spans="14:17" ht="15.75" customHeight="1" x14ac:dyDescent="0.25">
      <c r="N265" s="29"/>
      <c r="O265" s="29"/>
      <c r="P265" s="29"/>
      <c r="Q265" s="29"/>
    </row>
    <row r="266" spans="14:17" ht="15.75" customHeight="1" x14ac:dyDescent="0.25">
      <c r="N266" s="29"/>
      <c r="O266" s="29"/>
      <c r="P266" s="29"/>
      <c r="Q266" s="29"/>
    </row>
    <row r="267" spans="14:17" ht="15.75" customHeight="1" x14ac:dyDescent="0.25">
      <c r="N267" s="29"/>
      <c r="O267" s="29"/>
      <c r="P267" s="29"/>
      <c r="Q267" s="29"/>
    </row>
    <row r="268" spans="14:17" ht="15.75" customHeight="1" x14ac:dyDescent="0.25">
      <c r="N268" s="29"/>
      <c r="O268" s="29"/>
      <c r="P268" s="29"/>
      <c r="Q268" s="29"/>
    </row>
    <row r="269" spans="14:17" ht="15.75" customHeight="1" x14ac:dyDescent="0.25">
      <c r="N269" s="29"/>
      <c r="O269" s="29"/>
      <c r="P269" s="29"/>
      <c r="Q269" s="29"/>
    </row>
    <row r="270" spans="14:17" ht="15.75" customHeight="1" x14ac:dyDescent="0.25">
      <c r="N270" s="29"/>
      <c r="O270" s="29"/>
      <c r="P270" s="29"/>
      <c r="Q270" s="29"/>
    </row>
    <row r="271" spans="14:17" ht="15.75" customHeight="1" x14ac:dyDescent="0.25">
      <c r="N271" s="29"/>
      <c r="O271" s="29"/>
      <c r="P271" s="29"/>
      <c r="Q271" s="29"/>
    </row>
    <row r="272" spans="14:17" ht="15.75" customHeight="1" x14ac:dyDescent="0.25">
      <c r="N272" s="29"/>
      <c r="O272" s="29"/>
      <c r="P272" s="29"/>
      <c r="Q272" s="29"/>
    </row>
    <row r="273" spans="14:17" ht="15.75" customHeight="1" x14ac:dyDescent="0.25">
      <c r="N273" s="29"/>
      <c r="O273" s="29"/>
      <c r="P273" s="29"/>
      <c r="Q273" s="29"/>
    </row>
    <row r="274" spans="14:17" ht="15.75" customHeight="1" x14ac:dyDescent="0.25">
      <c r="N274" s="29"/>
      <c r="O274" s="29"/>
      <c r="P274" s="29"/>
      <c r="Q274" s="29"/>
    </row>
    <row r="275" spans="14:17" ht="15.75" customHeight="1" x14ac:dyDescent="0.25">
      <c r="N275" s="29"/>
      <c r="O275" s="29"/>
      <c r="P275" s="29"/>
      <c r="Q275" s="29"/>
    </row>
    <row r="276" spans="14:17" ht="15.75" customHeight="1" x14ac:dyDescent="0.25">
      <c r="N276" s="29"/>
      <c r="O276" s="29"/>
      <c r="P276" s="29"/>
      <c r="Q276" s="29"/>
    </row>
    <row r="277" spans="14:17" ht="15.75" customHeight="1" x14ac:dyDescent="0.25">
      <c r="N277" s="29"/>
      <c r="O277" s="29"/>
      <c r="P277" s="29"/>
      <c r="Q277" s="29"/>
    </row>
    <row r="278" spans="14:17" ht="15.75" customHeight="1" x14ac:dyDescent="0.25">
      <c r="N278" s="29"/>
      <c r="O278" s="29"/>
      <c r="P278" s="29"/>
      <c r="Q278" s="29"/>
    </row>
    <row r="279" spans="14:17" ht="15.75" customHeight="1" x14ac:dyDescent="0.25">
      <c r="N279" s="29"/>
      <c r="O279" s="29"/>
      <c r="P279" s="29"/>
      <c r="Q279" s="29"/>
    </row>
    <row r="280" spans="14:17" ht="15.75" customHeight="1" x14ac:dyDescent="0.25">
      <c r="N280" s="29"/>
      <c r="O280" s="29"/>
      <c r="P280" s="29"/>
      <c r="Q280" s="29"/>
    </row>
    <row r="281" spans="14:17" ht="15.75" customHeight="1" x14ac:dyDescent="0.25">
      <c r="N281" s="29"/>
      <c r="O281" s="29"/>
      <c r="P281" s="29"/>
      <c r="Q281" s="29"/>
    </row>
    <row r="282" spans="14:17" ht="15.75" customHeight="1" x14ac:dyDescent="0.25"/>
    <row r="283" spans="14:17" ht="15.75" customHeight="1" x14ac:dyDescent="0.25"/>
    <row r="284" spans="14:17" ht="15.75" customHeight="1" x14ac:dyDescent="0.25"/>
    <row r="285" spans="14:17" ht="15.75" customHeight="1" x14ac:dyDescent="0.25"/>
    <row r="286" spans="14:17" ht="15.75" customHeight="1" x14ac:dyDescent="0.25"/>
    <row r="287" spans="14:17" ht="15.75" customHeight="1" x14ac:dyDescent="0.25"/>
    <row r="288" spans="14:17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3:AE92" xr:uid="{24A59F5D-9148-4BB3-9AB8-AB82E8B48E1B}">
    <filterColumn colId="11">
      <filters>
        <filter val="1.080E+02"/>
        <filter val="1.102E+06"/>
        <filter val="1.166E+06"/>
        <filter val="1.183E+13"/>
        <filter val="1.200E+02"/>
        <filter val="1.260E+02"/>
        <filter val="1.260E+04"/>
        <filter val="1.273E+05"/>
        <filter val="1.368E+05"/>
        <filter val="1.380E+02"/>
        <filter val="1.409E+17"/>
        <filter val="1.446E+03"/>
        <filter val="1.560E+02"/>
        <filter val="1.728E+04"/>
        <filter val="1.800E+04"/>
        <filter val="1.987E+05"/>
        <filter val="2.050E+14"/>
        <filter val="2.069E+11"/>
        <filter val="2.208E+26"/>
        <filter val="2.220E+02"/>
        <filter val="2.220E+16"/>
        <filter val="2.766E+09"/>
        <filter val="3.024E+06"/>
        <filter val="3.228E+07"/>
        <filter val="3.290E+04"/>
        <filter val="3.423E+06"/>
        <filter val="4.369E+06"/>
        <filter val="4.510E+08"/>
        <filter val="4.536E+05"/>
        <filter val="4.541E+08"/>
        <filter val="4.825E+13"/>
        <filter val="4.951E+14"/>
        <filter val="5.046E+16"/>
        <filter val="5.080E+06"/>
        <filter val="5.400E+03"/>
        <filter val="5.531E+06"/>
        <filter val="5.760E+03"/>
        <filter val="5.880E+03"/>
        <filter val="5.940E+02"/>
        <filter val="6.000E+01"/>
        <filter val="6.120E+03"/>
        <filter val="6.480E+03"/>
        <filter val="6.600E+01"/>
        <filter val="6.660E+04"/>
        <filter val="6.717E+12"/>
        <filter val="7.253E+13"/>
        <filter val="7.600E+11"/>
        <filter val="9.082E+08"/>
        <filter val="9.466E+08"/>
        <filter val="9.514E+08"/>
      </filters>
    </filterColumn>
    <sortState xmlns:xlrd2="http://schemas.microsoft.com/office/spreadsheetml/2017/richdata2" ref="B10:AE92">
      <sortCondition ref="D3:D92"/>
    </sortState>
  </autoFilter>
  <mergeCells count="9">
    <mergeCell ref="AI2:AN2"/>
    <mergeCell ref="AQ2:AV2"/>
    <mergeCell ref="AG2:AG3"/>
    <mergeCell ref="U2:V2"/>
    <mergeCell ref="W2:X2"/>
    <mergeCell ref="Y2:Z2"/>
    <mergeCell ref="AA2:AB2"/>
    <mergeCell ref="AC2:AD2"/>
    <mergeCell ref="AE2:AF2"/>
  </mergeCells>
  <conditionalFormatting sqref="H1:H1048576">
    <cfRule type="containsText" dxfId="11" priority="12" operator="containsText" text="minutos">
      <formula>NOT(ISERROR(SEARCH("minutos",H1)))</formula>
    </cfRule>
    <cfRule type="containsText" dxfId="10" priority="13" operator="containsText" text="horas">
      <formula>NOT(ISERROR(SEARCH("horas",H1)))</formula>
    </cfRule>
    <cfRule type="containsText" dxfId="9" priority="14" operator="containsText" text="días">
      <formula>NOT(ISERROR(SEARCH("días",H1)))</formula>
    </cfRule>
    <cfRule type="containsText" dxfId="8" priority="15" operator="containsText" text="años">
      <formula>NOT(ISERROR(SEARCH("años",H1)))</formula>
    </cfRule>
  </conditionalFormatting>
  <conditionalFormatting sqref="I1:I40 I42:I1048576">
    <cfRule type="cellIs" dxfId="7" priority="9" operator="greaterThan">
      <formula>0</formula>
    </cfRule>
  </conditionalFormatting>
  <conditionalFormatting sqref="J1:J40 J42:J1048576">
    <cfRule type="cellIs" dxfId="6" priority="7" operator="greaterThan">
      <formula>0</formula>
    </cfRule>
  </conditionalFormatting>
  <conditionalFormatting sqref="J96:J98 M1:M96 M100:M1048576">
    <cfRule type="containsBlanks" dxfId="5" priority="10">
      <formula>LEN(TRIM(J1))=0</formula>
    </cfRule>
  </conditionalFormatting>
  <conditionalFormatting sqref="K1:K40 K42:K1048576">
    <cfRule type="cellIs" dxfId="4" priority="6" operator="greaterThan">
      <formula>0</formula>
    </cfRule>
  </conditionalFormatting>
  <conditionalFormatting sqref="L1:L40 L42:L1048576">
    <cfRule type="cellIs" dxfId="3" priority="4" operator="greaterThan">
      <formula>0</formula>
    </cfRule>
  </conditionalFormatting>
  <conditionalFormatting sqref="L3">
    <cfRule type="containsText" dxfId="2" priority="5" operator="containsText" text="minutos">
      <formula>NOT(ISERROR(SEARCH("minutos",L3)))</formula>
    </cfRule>
  </conditionalFormatting>
  <conditionalFormatting sqref="M1:M96 J96:J98 M100:M1048576">
    <cfRule type="cellIs" dxfId="1" priority="11" operator="equal">
      <formula>0</formula>
    </cfRule>
  </conditionalFormatting>
  <conditionalFormatting sqref="AE4:AG92">
    <cfRule type="cellIs" dxfId="0" priority="3" operator="equal">
      <formula>0</formula>
    </cfRule>
  </conditionalFormatting>
  <conditionalFormatting sqref="AN10:AN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10:AV6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AZ6 RZ1 (ACCIDENT)</vt:lpstr>
      <vt:lpstr>AZ6 RZ1 (NO)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Martínez Baroja</dc:creator>
  <cp:lastModifiedBy>Iker Martínez Baroja</cp:lastModifiedBy>
  <dcterms:created xsi:type="dcterms:W3CDTF">2024-12-10T11:37:05Z</dcterms:created>
  <dcterms:modified xsi:type="dcterms:W3CDTF">2025-04-15T07:51:05Z</dcterms:modified>
</cp:coreProperties>
</file>