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dom-my.sharepoint.com/personal/iker_martinez_co_idom_com/Documents/Escritorio/TFG/KP-FHR/"/>
    </mc:Choice>
  </mc:AlternateContent>
  <xr:revisionPtr revIDLastSave="119" documentId="8_{C28D9365-92CD-476D-B09C-57C2CD1E13C9}" xr6:coauthVersionLast="47" xr6:coauthVersionMax="47" xr10:uidLastSave="{B60FFC04-7141-4C95-801B-E5DD1B0DABC1}"/>
  <bookViews>
    <workbookView xWindow="-120" yWindow="-120" windowWidth="29040" windowHeight="15720" xr2:uid="{00000000-000D-0000-FFFF-FFFF00000000}"/>
  </bookViews>
  <sheets>
    <sheet name="AZ6 RZ1" sheetId="2" r:id="rId1"/>
    <sheet name="AZ5 RZ1" sheetId="8" r:id="rId2"/>
    <sheet name="AZ1 RZ1" sheetId="1" r:id="rId3"/>
    <sheet name="AZ1 RZ4 " sheetId="4" r:id="rId4"/>
    <sheet name="AZ6 RZ4 " sheetId="5" r:id="rId5"/>
    <sheet name="AZ10 RZ1" sheetId="6" r:id="rId6"/>
    <sheet name="AZ10 RZ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4" i="2"/>
  <c r="E94" i="7"/>
  <c r="E93" i="7"/>
  <c r="E94" i="6"/>
  <c r="E93" i="6"/>
  <c r="E94" i="5"/>
  <c r="E93" i="5"/>
  <c r="E94" i="4"/>
  <c r="E93" i="4"/>
  <c r="E94" i="1"/>
  <c r="E93" i="1"/>
  <c r="E94" i="8"/>
  <c r="E93" i="8"/>
  <c r="D92" i="8"/>
  <c r="E92" i="8" s="1"/>
  <c r="D91" i="8"/>
  <c r="E91" i="8" s="1"/>
  <c r="D90" i="8"/>
  <c r="E90" i="8" s="1"/>
  <c r="D89" i="8"/>
  <c r="E89" i="8" s="1"/>
  <c r="D88" i="8"/>
  <c r="E88" i="8" s="1"/>
  <c r="D87" i="8"/>
  <c r="E87" i="8" s="1"/>
  <c r="D86" i="8"/>
  <c r="E86" i="8" s="1"/>
  <c r="D85" i="8"/>
  <c r="E85" i="8" s="1"/>
  <c r="D84" i="8"/>
  <c r="E84" i="8" s="1"/>
  <c r="D83" i="8"/>
  <c r="E83" i="8" s="1"/>
  <c r="D82" i="8"/>
  <c r="E82" i="8" s="1"/>
  <c r="D81" i="8"/>
  <c r="E81" i="8" s="1"/>
  <c r="D80" i="8"/>
  <c r="E80" i="8" s="1"/>
  <c r="D79" i="8"/>
  <c r="E79" i="8" s="1"/>
  <c r="D78" i="8"/>
  <c r="E78" i="8" s="1"/>
  <c r="D77" i="8"/>
  <c r="E77" i="8" s="1"/>
  <c r="D76" i="8"/>
  <c r="E76" i="8" s="1"/>
  <c r="D75" i="8"/>
  <c r="E75" i="8" s="1"/>
  <c r="D74" i="8"/>
  <c r="E74" i="8" s="1"/>
  <c r="D73" i="8"/>
  <c r="E73" i="8" s="1"/>
  <c r="D72" i="8"/>
  <c r="E72" i="8" s="1"/>
  <c r="D71" i="8"/>
  <c r="E71" i="8" s="1"/>
  <c r="D70" i="8"/>
  <c r="E70" i="8" s="1"/>
  <c r="D69" i="8"/>
  <c r="E69" i="8" s="1"/>
  <c r="D68" i="8"/>
  <c r="E68" i="8" s="1"/>
  <c r="D67" i="8"/>
  <c r="E67" i="8" s="1"/>
  <c r="D66" i="8"/>
  <c r="E66" i="8" s="1"/>
  <c r="D65" i="8"/>
  <c r="E65" i="8" s="1"/>
  <c r="D64" i="8"/>
  <c r="E64" i="8" s="1"/>
  <c r="D63" i="8"/>
  <c r="E63" i="8" s="1"/>
  <c r="D62" i="8"/>
  <c r="E62" i="8" s="1"/>
  <c r="D61" i="8"/>
  <c r="E61" i="8" s="1"/>
  <c r="D60" i="8"/>
  <c r="E60" i="8" s="1"/>
  <c r="D59" i="8"/>
  <c r="E59" i="8" s="1"/>
  <c r="D58" i="8"/>
  <c r="E58" i="8" s="1"/>
  <c r="D57" i="8"/>
  <c r="E57" i="8" s="1"/>
  <c r="D56" i="8"/>
  <c r="E56" i="8" s="1"/>
  <c r="D55" i="8"/>
  <c r="E55" i="8" s="1"/>
  <c r="D54" i="8"/>
  <c r="E54" i="8" s="1"/>
  <c r="D53" i="8"/>
  <c r="E53" i="8" s="1"/>
  <c r="D52" i="8"/>
  <c r="E52" i="8" s="1"/>
  <c r="D51" i="8"/>
  <c r="E51" i="8" s="1"/>
  <c r="D50" i="8"/>
  <c r="E50" i="8" s="1"/>
  <c r="D49" i="8"/>
  <c r="E49" i="8" s="1"/>
  <c r="D48" i="8"/>
  <c r="E48" i="8" s="1"/>
  <c r="D47" i="8"/>
  <c r="E47" i="8" s="1"/>
  <c r="D46" i="8"/>
  <c r="E46" i="8" s="1"/>
  <c r="D45" i="8"/>
  <c r="E45" i="8" s="1"/>
  <c r="D44" i="8"/>
  <c r="E44" i="8" s="1"/>
  <c r="D43" i="8"/>
  <c r="E43" i="8" s="1"/>
  <c r="D42" i="8"/>
  <c r="E42" i="8" s="1"/>
  <c r="D41" i="8"/>
  <c r="E41" i="8" s="1"/>
  <c r="D40" i="8"/>
  <c r="E40" i="8" s="1"/>
  <c r="D39" i="8"/>
  <c r="E39" i="8" s="1"/>
  <c r="D38" i="8"/>
  <c r="E38" i="8" s="1"/>
  <c r="D37" i="8"/>
  <c r="E37" i="8" s="1"/>
  <c r="D36" i="8"/>
  <c r="E36" i="8" s="1"/>
  <c r="D35" i="8"/>
  <c r="E35" i="8" s="1"/>
  <c r="D34" i="8"/>
  <c r="E34" i="8" s="1"/>
  <c r="D33" i="8"/>
  <c r="E33" i="8" s="1"/>
  <c r="D32" i="8"/>
  <c r="E32" i="8" s="1"/>
  <c r="D31" i="8"/>
  <c r="E31" i="8" s="1"/>
  <c r="D30" i="8"/>
  <c r="E30" i="8" s="1"/>
  <c r="D29" i="8"/>
  <c r="E29" i="8" s="1"/>
  <c r="D28" i="8"/>
  <c r="E28" i="8" s="1"/>
  <c r="D27" i="8"/>
  <c r="E27" i="8" s="1"/>
  <c r="D26" i="8"/>
  <c r="E26" i="8" s="1"/>
  <c r="D25" i="8"/>
  <c r="E25" i="8" s="1"/>
  <c r="D24" i="8"/>
  <c r="E24" i="8" s="1"/>
  <c r="D23" i="8"/>
  <c r="E23" i="8" s="1"/>
  <c r="D22" i="8"/>
  <c r="E22" i="8" s="1"/>
  <c r="D21" i="8"/>
  <c r="E21" i="8" s="1"/>
  <c r="D20" i="8"/>
  <c r="E20" i="8" s="1"/>
  <c r="D19" i="8"/>
  <c r="E19" i="8" s="1"/>
  <c r="D18" i="8"/>
  <c r="E18" i="8" s="1"/>
  <c r="D17" i="8"/>
  <c r="E17" i="8" s="1"/>
  <c r="D16" i="8"/>
  <c r="E16" i="8" s="1"/>
  <c r="D15" i="8"/>
  <c r="E15" i="8" s="1"/>
  <c r="D14" i="8"/>
  <c r="E14" i="8" s="1"/>
  <c r="D13" i="8"/>
  <c r="E13" i="8" s="1"/>
  <c r="D12" i="8"/>
  <c r="E12" i="8" s="1"/>
  <c r="D11" i="8"/>
  <c r="E11" i="8" s="1"/>
  <c r="D10" i="8"/>
  <c r="E10" i="8" s="1"/>
  <c r="D9" i="8"/>
  <c r="E9" i="8" s="1"/>
  <c r="D8" i="8"/>
  <c r="E8" i="8" s="1"/>
  <c r="D7" i="8"/>
  <c r="E7" i="8" s="1"/>
  <c r="D6" i="8"/>
  <c r="E6" i="8" s="1"/>
  <c r="D5" i="8"/>
  <c r="E5" i="8" s="1"/>
  <c r="D4" i="8"/>
  <c r="E4" i="8" s="1"/>
  <c r="D92" i="7"/>
  <c r="E92" i="7" s="1"/>
  <c r="D91" i="7"/>
  <c r="E91" i="7" s="1"/>
  <c r="D90" i="7"/>
  <c r="E90" i="7" s="1"/>
  <c r="D89" i="7"/>
  <c r="E89" i="7" s="1"/>
  <c r="D88" i="7"/>
  <c r="E88" i="7" s="1"/>
  <c r="D87" i="7"/>
  <c r="E87" i="7" s="1"/>
  <c r="D86" i="7"/>
  <c r="E86" i="7" s="1"/>
  <c r="D85" i="7"/>
  <c r="E85" i="7" s="1"/>
  <c r="D84" i="7"/>
  <c r="E84" i="7" s="1"/>
  <c r="D83" i="7"/>
  <c r="E83" i="7" s="1"/>
  <c r="D82" i="7"/>
  <c r="E82" i="7" s="1"/>
  <c r="D81" i="7"/>
  <c r="E81" i="7" s="1"/>
  <c r="D80" i="7"/>
  <c r="E80" i="7" s="1"/>
  <c r="D78" i="7"/>
  <c r="E78" i="7" s="1"/>
  <c r="D77" i="7"/>
  <c r="E77" i="7" s="1"/>
  <c r="D76" i="7"/>
  <c r="E76" i="7" s="1"/>
  <c r="D75" i="7"/>
  <c r="E75" i="7" s="1"/>
  <c r="D74" i="7"/>
  <c r="E74" i="7" s="1"/>
  <c r="D73" i="7"/>
  <c r="E73" i="7" s="1"/>
  <c r="D72" i="7"/>
  <c r="E72" i="7" s="1"/>
  <c r="D71" i="7"/>
  <c r="E71" i="7" s="1"/>
  <c r="D70" i="7"/>
  <c r="E70" i="7" s="1"/>
  <c r="D69" i="7"/>
  <c r="E69" i="7" s="1"/>
  <c r="D68" i="7"/>
  <c r="E68" i="7" s="1"/>
  <c r="D67" i="7"/>
  <c r="E67" i="7" s="1"/>
  <c r="D66" i="7"/>
  <c r="E66" i="7" s="1"/>
  <c r="D65" i="7"/>
  <c r="E65" i="7" s="1"/>
  <c r="D64" i="7"/>
  <c r="E64" i="7" s="1"/>
  <c r="D63" i="7"/>
  <c r="E63" i="7" s="1"/>
  <c r="D62" i="7"/>
  <c r="E62" i="7" s="1"/>
  <c r="D61" i="7"/>
  <c r="E61" i="7" s="1"/>
  <c r="D60" i="7"/>
  <c r="E60" i="7" s="1"/>
  <c r="D59" i="7"/>
  <c r="E59" i="7" s="1"/>
  <c r="D58" i="7"/>
  <c r="E58" i="7" s="1"/>
  <c r="D57" i="7"/>
  <c r="E57" i="7" s="1"/>
  <c r="D56" i="7"/>
  <c r="E56" i="7" s="1"/>
  <c r="D55" i="7"/>
  <c r="E55" i="7" s="1"/>
  <c r="D54" i="7"/>
  <c r="E54" i="7" s="1"/>
  <c r="D53" i="7"/>
  <c r="E53" i="7" s="1"/>
  <c r="D52" i="7"/>
  <c r="E52" i="7" s="1"/>
  <c r="D51" i="7"/>
  <c r="E51" i="7" s="1"/>
  <c r="D50" i="7"/>
  <c r="E50" i="7" s="1"/>
  <c r="D49" i="7"/>
  <c r="E49" i="7" s="1"/>
  <c r="D48" i="7"/>
  <c r="E48" i="7" s="1"/>
  <c r="E47" i="7"/>
  <c r="D47" i="7"/>
  <c r="D46" i="7"/>
  <c r="E46" i="7" s="1"/>
  <c r="D45" i="7"/>
  <c r="E45" i="7" s="1"/>
  <c r="D44" i="7"/>
  <c r="E44" i="7" s="1"/>
  <c r="D43" i="7"/>
  <c r="E43" i="7" s="1"/>
  <c r="D42" i="7"/>
  <c r="E42" i="7" s="1"/>
  <c r="D41" i="7"/>
  <c r="E41" i="7" s="1"/>
  <c r="D40" i="7"/>
  <c r="E40" i="7" s="1"/>
  <c r="D39" i="7"/>
  <c r="E39" i="7" s="1"/>
  <c r="D38" i="7"/>
  <c r="E38" i="7" s="1"/>
  <c r="D37" i="7"/>
  <c r="E37" i="7" s="1"/>
  <c r="D36" i="7"/>
  <c r="E36" i="7" s="1"/>
  <c r="D35" i="7"/>
  <c r="E35" i="7" s="1"/>
  <c r="D34" i="7"/>
  <c r="E34" i="7" s="1"/>
  <c r="D33" i="7"/>
  <c r="E33" i="7" s="1"/>
  <c r="D32" i="7"/>
  <c r="E32" i="7" s="1"/>
  <c r="D31" i="7"/>
  <c r="E31" i="7" s="1"/>
  <c r="D30" i="7"/>
  <c r="E30" i="7" s="1"/>
  <c r="E29" i="7"/>
  <c r="D29" i="7"/>
  <c r="D28" i="7"/>
  <c r="E28" i="7" s="1"/>
  <c r="D27" i="7"/>
  <c r="E27" i="7" s="1"/>
  <c r="D26" i="7"/>
  <c r="E26" i="7" s="1"/>
  <c r="D25" i="7"/>
  <c r="E25" i="7" s="1"/>
  <c r="D24" i="7"/>
  <c r="E24" i="7" s="1"/>
  <c r="D23" i="7"/>
  <c r="E23" i="7" s="1"/>
  <c r="D22" i="7"/>
  <c r="E22" i="7" s="1"/>
  <c r="D21" i="7"/>
  <c r="E21" i="7" s="1"/>
  <c r="D20" i="7"/>
  <c r="E20" i="7" s="1"/>
  <c r="D19" i="7"/>
  <c r="E19" i="7" s="1"/>
  <c r="D18" i="7"/>
  <c r="E18" i="7" s="1"/>
  <c r="D17" i="7"/>
  <c r="E17" i="7" s="1"/>
  <c r="D16" i="7"/>
  <c r="E16" i="7" s="1"/>
  <c r="D15" i="7"/>
  <c r="E15" i="7" s="1"/>
  <c r="D14" i="7"/>
  <c r="E14" i="7" s="1"/>
  <c r="D13" i="7"/>
  <c r="E13" i="7" s="1"/>
  <c r="D12" i="7"/>
  <c r="E12" i="7" s="1"/>
  <c r="E11" i="7"/>
  <c r="D11" i="7"/>
  <c r="D10" i="7"/>
  <c r="E10" i="7" s="1"/>
  <c r="D9" i="7"/>
  <c r="E9" i="7" s="1"/>
  <c r="D8" i="7"/>
  <c r="E8" i="7" s="1"/>
  <c r="D7" i="7"/>
  <c r="E7" i="7" s="1"/>
  <c r="D6" i="7"/>
  <c r="E6" i="7" s="1"/>
  <c r="D5" i="7"/>
  <c r="E5" i="7" s="1"/>
  <c r="D4" i="7"/>
  <c r="E4" i="7" s="1"/>
  <c r="D92" i="6"/>
  <c r="E92" i="6" s="1"/>
  <c r="D91" i="6"/>
  <c r="E91" i="6" s="1"/>
  <c r="D90" i="6"/>
  <c r="E90" i="6" s="1"/>
  <c r="D89" i="6"/>
  <c r="E89" i="6" s="1"/>
  <c r="D88" i="6"/>
  <c r="E88" i="6" s="1"/>
  <c r="D87" i="6"/>
  <c r="E87" i="6" s="1"/>
  <c r="D86" i="6"/>
  <c r="E86" i="6" s="1"/>
  <c r="D85" i="6"/>
  <c r="E85" i="6" s="1"/>
  <c r="D84" i="6"/>
  <c r="E84" i="6" s="1"/>
  <c r="D83" i="6"/>
  <c r="E83" i="6" s="1"/>
  <c r="D82" i="6"/>
  <c r="E82" i="6" s="1"/>
  <c r="D81" i="6"/>
  <c r="E81" i="6" s="1"/>
  <c r="D80" i="6"/>
  <c r="E80" i="6" s="1"/>
  <c r="D79" i="6"/>
  <c r="E79" i="6" s="1"/>
  <c r="D78" i="6"/>
  <c r="E78" i="6" s="1"/>
  <c r="D77" i="6"/>
  <c r="E77" i="6" s="1"/>
  <c r="D76" i="6"/>
  <c r="E76" i="6" s="1"/>
  <c r="D75" i="6"/>
  <c r="E75" i="6" s="1"/>
  <c r="D74" i="6"/>
  <c r="E74" i="6" s="1"/>
  <c r="D73" i="6"/>
  <c r="E73" i="6" s="1"/>
  <c r="D72" i="6"/>
  <c r="E72" i="6" s="1"/>
  <c r="D71" i="6"/>
  <c r="E71" i="6" s="1"/>
  <c r="D70" i="6"/>
  <c r="E70" i="6" s="1"/>
  <c r="D69" i="6"/>
  <c r="E69" i="6" s="1"/>
  <c r="D68" i="6"/>
  <c r="E68" i="6" s="1"/>
  <c r="D67" i="6"/>
  <c r="E67" i="6" s="1"/>
  <c r="D66" i="6"/>
  <c r="E66" i="6" s="1"/>
  <c r="D65" i="6"/>
  <c r="E65" i="6" s="1"/>
  <c r="D64" i="6"/>
  <c r="E64" i="6" s="1"/>
  <c r="D63" i="6"/>
  <c r="E63" i="6" s="1"/>
  <c r="D62" i="6"/>
  <c r="E62" i="6" s="1"/>
  <c r="D61" i="6"/>
  <c r="E61" i="6" s="1"/>
  <c r="D60" i="6"/>
  <c r="E60" i="6" s="1"/>
  <c r="D59" i="6"/>
  <c r="E59" i="6" s="1"/>
  <c r="D58" i="6"/>
  <c r="E58" i="6" s="1"/>
  <c r="D57" i="6"/>
  <c r="E57" i="6" s="1"/>
  <c r="D56" i="6"/>
  <c r="E56" i="6" s="1"/>
  <c r="D55" i="6"/>
  <c r="E55" i="6" s="1"/>
  <c r="D54" i="6"/>
  <c r="E54" i="6" s="1"/>
  <c r="D53" i="6"/>
  <c r="E53" i="6" s="1"/>
  <c r="D52" i="6"/>
  <c r="E52" i="6" s="1"/>
  <c r="D51" i="6"/>
  <c r="E51" i="6" s="1"/>
  <c r="D50" i="6"/>
  <c r="E50" i="6" s="1"/>
  <c r="D49" i="6"/>
  <c r="E49" i="6" s="1"/>
  <c r="D48" i="6"/>
  <c r="E48" i="6" s="1"/>
  <c r="D47" i="6"/>
  <c r="E47" i="6" s="1"/>
  <c r="D46" i="6"/>
  <c r="E46" i="6" s="1"/>
  <c r="D45" i="6"/>
  <c r="E45" i="6" s="1"/>
  <c r="D44" i="6"/>
  <c r="E44" i="6" s="1"/>
  <c r="D43" i="6"/>
  <c r="E43" i="6" s="1"/>
  <c r="D42" i="6"/>
  <c r="E42" i="6" s="1"/>
  <c r="D41" i="6"/>
  <c r="E41" i="6" s="1"/>
  <c r="D40" i="6"/>
  <c r="E40" i="6" s="1"/>
  <c r="D39" i="6"/>
  <c r="E39" i="6" s="1"/>
  <c r="D38" i="6"/>
  <c r="E38" i="6" s="1"/>
  <c r="D37" i="6"/>
  <c r="E37" i="6" s="1"/>
  <c r="D36" i="6"/>
  <c r="E36" i="6" s="1"/>
  <c r="D35" i="6"/>
  <c r="E35" i="6" s="1"/>
  <c r="D34" i="6"/>
  <c r="E34" i="6" s="1"/>
  <c r="D33" i="6"/>
  <c r="E33" i="6" s="1"/>
  <c r="D32" i="6"/>
  <c r="E32" i="6" s="1"/>
  <c r="D31" i="6"/>
  <c r="E31" i="6" s="1"/>
  <c r="D30" i="6"/>
  <c r="E30" i="6" s="1"/>
  <c r="D29" i="6"/>
  <c r="E29" i="6" s="1"/>
  <c r="D28" i="6"/>
  <c r="E28" i="6" s="1"/>
  <c r="D27" i="6"/>
  <c r="E27" i="6" s="1"/>
  <c r="D26" i="6"/>
  <c r="E26" i="6" s="1"/>
  <c r="D25" i="6"/>
  <c r="E25" i="6" s="1"/>
  <c r="D24" i="6"/>
  <c r="E24" i="6" s="1"/>
  <c r="D23" i="6"/>
  <c r="E23" i="6" s="1"/>
  <c r="D22" i="6"/>
  <c r="E22" i="6" s="1"/>
  <c r="D21" i="6"/>
  <c r="E21" i="6" s="1"/>
  <c r="D20" i="6"/>
  <c r="E20" i="6" s="1"/>
  <c r="D19" i="6"/>
  <c r="E19" i="6" s="1"/>
  <c r="D18" i="6"/>
  <c r="E18" i="6" s="1"/>
  <c r="D17" i="6"/>
  <c r="E17" i="6" s="1"/>
  <c r="D16" i="6"/>
  <c r="E16" i="6" s="1"/>
  <c r="D15" i="6"/>
  <c r="E15" i="6" s="1"/>
  <c r="D14" i="6"/>
  <c r="E14" i="6" s="1"/>
  <c r="D13" i="6"/>
  <c r="E13" i="6" s="1"/>
  <c r="D12" i="6"/>
  <c r="E12" i="6" s="1"/>
  <c r="D11" i="6"/>
  <c r="E11" i="6" s="1"/>
  <c r="D10" i="6"/>
  <c r="E10" i="6" s="1"/>
  <c r="D9" i="6"/>
  <c r="E9" i="6" s="1"/>
  <c r="D8" i="6"/>
  <c r="E8" i="6" s="1"/>
  <c r="D7" i="6"/>
  <c r="E7" i="6" s="1"/>
  <c r="D6" i="6"/>
  <c r="E6" i="6" s="1"/>
  <c r="D5" i="6"/>
  <c r="E5" i="6" s="1"/>
  <c r="D4" i="6"/>
  <c r="E4" i="6" s="1"/>
  <c r="D79" i="5"/>
  <c r="E79" i="5"/>
  <c r="D92" i="5"/>
  <c r="E92" i="5" s="1"/>
  <c r="D91" i="5"/>
  <c r="E91" i="5" s="1"/>
  <c r="D90" i="5"/>
  <c r="E90" i="5" s="1"/>
  <c r="D89" i="5"/>
  <c r="E89" i="5" s="1"/>
  <c r="D88" i="5"/>
  <c r="E88" i="5" s="1"/>
  <c r="D87" i="5"/>
  <c r="E87" i="5" s="1"/>
  <c r="D86" i="5"/>
  <c r="E86" i="5" s="1"/>
  <c r="D85" i="5"/>
  <c r="E85" i="5" s="1"/>
  <c r="D84" i="5"/>
  <c r="E84" i="5" s="1"/>
  <c r="D83" i="5"/>
  <c r="E83" i="5" s="1"/>
  <c r="D82" i="5"/>
  <c r="E82" i="5" s="1"/>
  <c r="D81" i="5"/>
  <c r="E81" i="5" s="1"/>
  <c r="D80" i="5"/>
  <c r="E80" i="5" s="1"/>
  <c r="D78" i="5"/>
  <c r="E78" i="5" s="1"/>
  <c r="D77" i="5"/>
  <c r="E77" i="5" s="1"/>
  <c r="D76" i="5"/>
  <c r="E76" i="5" s="1"/>
  <c r="D75" i="5"/>
  <c r="E75" i="5" s="1"/>
  <c r="D74" i="5"/>
  <c r="E74" i="5" s="1"/>
  <c r="D73" i="5"/>
  <c r="E73" i="5" s="1"/>
  <c r="D72" i="5"/>
  <c r="E72" i="5" s="1"/>
  <c r="D71" i="5"/>
  <c r="E71" i="5" s="1"/>
  <c r="D70" i="5"/>
  <c r="E70" i="5" s="1"/>
  <c r="D69" i="5"/>
  <c r="E69" i="5" s="1"/>
  <c r="D68" i="5"/>
  <c r="E68" i="5" s="1"/>
  <c r="D67" i="5"/>
  <c r="E67" i="5" s="1"/>
  <c r="D66" i="5"/>
  <c r="E66" i="5" s="1"/>
  <c r="D65" i="5"/>
  <c r="E65" i="5" s="1"/>
  <c r="D64" i="5"/>
  <c r="E64" i="5" s="1"/>
  <c r="D63" i="5"/>
  <c r="E63" i="5" s="1"/>
  <c r="D62" i="5"/>
  <c r="E62" i="5" s="1"/>
  <c r="D61" i="5"/>
  <c r="E61" i="5" s="1"/>
  <c r="D60" i="5"/>
  <c r="E60" i="5" s="1"/>
  <c r="D59" i="5"/>
  <c r="E59" i="5" s="1"/>
  <c r="D58" i="5"/>
  <c r="E58" i="5" s="1"/>
  <c r="D57" i="5"/>
  <c r="E57" i="5" s="1"/>
  <c r="E56" i="5"/>
  <c r="D56" i="5"/>
  <c r="D55" i="5"/>
  <c r="E55" i="5" s="1"/>
  <c r="D54" i="5"/>
  <c r="E54" i="5" s="1"/>
  <c r="D53" i="5"/>
  <c r="E53" i="5" s="1"/>
  <c r="D52" i="5"/>
  <c r="E52" i="5" s="1"/>
  <c r="D51" i="5"/>
  <c r="E51" i="5" s="1"/>
  <c r="D50" i="5"/>
  <c r="E50" i="5" s="1"/>
  <c r="D49" i="5"/>
  <c r="E49" i="5" s="1"/>
  <c r="D48" i="5"/>
  <c r="E48" i="5" s="1"/>
  <c r="D47" i="5"/>
  <c r="E47" i="5" s="1"/>
  <c r="D46" i="5"/>
  <c r="E46" i="5" s="1"/>
  <c r="D45" i="5"/>
  <c r="E45" i="5" s="1"/>
  <c r="D44" i="5"/>
  <c r="E44" i="5" s="1"/>
  <c r="D43" i="5"/>
  <c r="E43" i="5" s="1"/>
  <c r="D42" i="5"/>
  <c r="E42" i="5" s="1"/>
  <c r="D41" i="5"/>
  <c r="E41" i="5" s="1"/>
  <c r="D40" i="5"/>
  <c r="E40" i="5" s="1"/>
  <c r="D39" i="5"/>
  <c r="E39" i="5" s="1"/>
  <c r="D38" i="5"/>
  <c r="E38" i="5" s="1"/>
  <c r="D37" i="5"/>
  <c r="E37" i="5" s="1"/>
  <c r="D36" i="5"/>
  <c r="E36" i="5" s="1"/>
  <c r="D35" i="5"/>
  <c r="E35" i="5" s="1"/>
  <c r="D34" i="5"/>
  <c r="E34" i="5" s="1"/>
  <c r="D33" i="5"/>
  <c r="E33" i="5" s="1"/>
  <c r="D32" i="5"/>
  <c r="E32" i="5" s="1"/>
  <c r="D31" i="5"/>
  <c r="E31" i="5" s="1"/>
  <c r="D30" i="5"/>
  <c r="E30" i="5" s="1"/>
  <c r="D29" i="5"/>
  <c r="E29" i="5" s="1"/>
  <c r="D28" i="5"/>
  <c r="E28" i="5" s="1"/>
  <c r="D27" i="5"/>
  <c r="E27" i="5" s="1"/>
  <c r="D26" i="5"/>
  <c r="E26" i="5" s="1"/>
  <c r="D25" i="5"/>
  <c r="E25" i="5" s="1"/>
  <c r="D24" i="5"/>
  <c r="E24" i="5" s="1"/>
  <c r="D23" i="5"/>
  <c r="E23" i="5" s="1"/>
  <c r="D22" i="5"/>
  <c r="E22" i="5" s="1"/>
  <c r="D21" i="5"/>
  <c r="E21" i="5" s="1"/>
  <c r="D20" i="5"/>
  <c r="E20" i="5" s="1"/>
  <c r="D19" i="5"/>
  <c r="E19" i="5" s="1"/>
  <c r="D18" i="5"/>
  <c r="E18" i="5" s="1"/>
  <c r="D17" i="5"/>
  <c r="E17" i="5" s="1"/>
  <c r="D16" i="5"/>
  <c r="E16" i="5" s="1"/>
  <c r="D15" i="5"/>
  <c r="E15" i="5" s="1"/>
  <c r="D14" i="5"/>
  <c r="E14" i="5" s="1"/>
  <c r="D13" i="5"/>
  <c r="E13" i="5" s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4" i="5"/>
  <c r="E4" i="5" s="1"/>
  <c r="E81" i="4"/>
  <c r="E82" i="4"/>
  <c r="E83" i="4"/>
  <c r="E84" i="4"/>
  <c r="E85" i="4"/>
  <c r="E86" i="4"/>
  <c r="E87" i="4"/>
  <c r="E88" i="4"/>
  <c r="E89" i="4"/>
  <c r="E90" i="4"/>
  <c r="E91" i="4"/>
  <c r="E92" i="4"/>
  <c r="E80" i="4"/>
  <c r="D81" i="4"/>
  <c r="D82" i="4"/>
  <c r="D83" i="4"/>
  <c r="D84" i="4"/>
  <c r="D85" i="4"/>
  <c r="D86" i="4"/>
  <c r="D87" i="4"/>
  <c r="D88" i="4"/>
  <c r="D89" i="4"/>
  <c r="D90" i="4"/>
  <c r="D91" i="4"/>
  <c r="D92" i="4"/>
  <c r="D80" i="4"/>
  <c r="D78" i="4"/>
  <c r="E78" i="4" s="1"/>
  <c r="D77" i="4"/>
  <c r="E77" i="4" s="1"/>
  <c r="D76" i="4"/>
  <c r="E76" i="4" s="1"/>
  <c r="D75" i="4"/>
  <c r="E75" i="4" s="1"/>
  <c r="D74" i="4"/>
  <c r="E74" i="4" s="1"/>
  <c r="D73" i="4"/>
  <c r="E73" i="4" s="1"/>
  <c r="D72" i="4"/>
  <c r="E72" i="4" s="1"/>
  <c r="D71" i="4"/>
  <c r="E71" i="4" s="1"/>
  <c r="D70" i="4"/>
  <c r="E70" i="4" s="1"/>
  <c r="D69" i="4"/>
  <c r="E69" i="4" s="1"/>
  <c r="D68" i="4"/>
  <c r="E68" i="4" s="1"/>
  <c r="D67" i="4"/>
  <c r="E67" i="4" s="1"/>
  <c r="D66" i="4"/>
  <c r="E66" i="4" s="1"/>
  <c r="D65" i="4"/>
  <c r="E65" i="4" s="1"/>
  <c r="D64" i="4"/>
  <c r="E64" i="4" s="1"/>
  <c r="D63" i="4"/>
  <c r="E63" i="4" s="1"/>
  <c r="D62" i="4"/>
  <c r="E62" i="4" s="1"/>
  <c r="D61" i="4"/>
  <c r="E61" i="4" s="1"/>
  <c r="D60" i="4"/>
  <c r="E60" i="4" s="1"/>
  <c r="D59" i="4"/>
  <c r="E59" i="4" s="1"/>
  <c r="D58" i="4"/>
  <c r="E58" i="4" s="1"/>
  <c r="D57" i="4"/>
  <c r="E57" i="4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D5" i="4"/>
  <c r="E5" i="4" s="1"/>
  <c r="D4" i="4"/>
  <c r="E4" i="4" s="1"/>
  <c r="D81" i="1"/>
  <c r="D82" i="1"/>
  <c r="D83" i="1"/>
  <c r="D84" i="1"/>
  <c r="D85" i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80" i="1"/>
  <c r="E18" i="1"/>
  <c r="E48" i="1"/>
  <c r="E85" i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E80" i="1"/>
  <c r="E81" i="1"/>
  <c r="E82" i="1"/>
  <c r="E83" i="1"/>
  <c r="E84" i="1"/>
  <c r="D4" i="1"/>
  <c r="E4" i="1" s="1"/>
</calcChain>
</file>

<file path=xl/sharedStrings.xml><?xml version="1.0" encoding="utf-8"?>
<sst xmlns="http://schemas.openxmlformats.org/spreadsheetml/2006/main" count="54" uniqueCount="13">
  <si>
    <t>Isotope [ZZAAA]</t>
  </si>
  <si>
    <t>Number Density [atom/b/cm]</t>
  </si>
  <si>
    <r>
      <rPr>
        <b/>
        <sz val="11.5"/>
        <rFont val="Arial"/>
        <family val="2"/>
      </rPr>
      <t xml:space="preserve">Isotope
</t>
    </r>
    <r>
      <rPr>
        <b/>
        <sz val="11.5"/>
        <rFont val="Arial"/>
        <family val="2"/>
      </rPr>
      <t>[ZZAAA]</t>
    </r>
  </si>
  <si>
    <r>
      <rPr>
        <b/>
        <sz val="11.5"/>
        <rFont val="Arial"/>
        <family val="2"/>
      </rPr>
      <t xml:space="preserve">Number Density
</t>
    </r>
    <r>
      <rPr>
        <b/>
        <sz val="11.5"/>
        <rFont val="Arial"/>
        <family val="2"/>
      </rPr>
      <t>[atom/b/cm]</t>
    </r>
  </si>
  <si>
    <t>U238</t>
  </si>
  <si>
    <t>Dif</t>
  </si>
  <si>
    <t>Error</t>
  </si>
  <si>
    <t>Gd-157</t>
  </si>
  <si>
    <t>Media error</t>
  </si>
  <si>
    <t>Desv. Est.</t>
  </si>
  <si>
    <t>C-12</t>
  </si>
  <si>
    <t>U-238</t>
  </si>
  <si>
    <r>
      <t>Volumen (cm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</si>
</sst>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.5"/>
      <name val="Arial"/>
      <family val="2"/>
    </font>
    <font>
      <sz val="11.5"/>
      <color rgb="FF00000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9" fontId="0" fillId="0" borderId="0" xfId="1" applyFont="1"/>
    <xf numFmtId="164" fontId="0" fillId="0" borderId="0" xfId="0" applyNumberFormat="1"/>
    <xf numFmtId="0" fontId="0" fillId="0" borderId="1" xfId="0" applyBorder="1"/>
    <xf numFmtId="9" fontId="0" fillId="0" borderId="1" xfId="0" applyNumberFormat="1" applyBorder="1"/>
    <xf numFmtId="9" fontId="0" fillId="0" borderId="1" xfId="1" applyFont="1" applyBorder="1"/>
    <xf numFmtId="0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86</xdr:row>
      <xdr:rowOff>142875</xdr:rowOff>
    </xdr:from>
    <xdr:to>
      <xdr:col>12</xdr:col>
      <xdr:colOff>29072</xdr:colOff>
      <xdr:row>94</xdr:row>
      <xdr:rowOff>9719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8B4A23-F6C0-1886-408B-4DD701D0F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9725" y="16716375"/>
          <a:ext cx="3562847" cy="139084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D467B-5E68-4AB7-9E87-99B503F19057}">
  <dimension ref="A3:G92"/>
  <sheetViews>
    <sheetView tabSelected="1" workbookViewId="0">
      <selection activeCell="M3" sqref="M3"/>
    </sheetView>
  </sheetViews>
  <sheetFormatPr baseColWidth="10" defaultColWidth="8.85546875" defaultRowHeight="15" x14ac:dyDescent="0.25"/>
  <cols>
    <col min="2" max="2" width="15" bestFit="1" customWidth="1"/>
    <col min="3" max="3" width="26.85546875" bestFit="1" customWidth="1"/>
    <col min="7" max="7" width="11.85546875" bestFit="1" customWidth="1"/>
  </cols>
  <sheetData>
    <row r="3" spans="1:7" ht="30" x14ac:dyDescent="0.25">
      <c r="B3" s="2" t="s">
        <v>2</v>
      </c>
      <c r="C3" s="2" t="s">
        <v>3</v>
      </c>
      <c r="G3" t="s">
        <v>12</v>
      </c>
    </row>
    <row r="4" spans="1:7" x14ac:dyDescent="0.25">
      <c r="A4" t="s">
        <v>10</v>
      </c>
      <c r="B4" s="3">
        <v>6012</v>
      </c>
      <c r="C4" s="4">
        <v>1.1821099999999999E-2</v>
      </c>
      <c r="G4" s="10">
        <f>PI()*120^2*309</f>
        <v>13978830.671413144</v>
      </c>
    </row>
    <row r="5" spans="1:7" x14ac:dyDescent="0.25">
      <c r="B5" s="3">
        <v>8016</v>
      </c>
      <c r="C5" s="4">
        <v>3.5463399999999999E-2</v>
      </c>
      <c r="G5" s="10">
        <f t="shared" ref="G5:G68" si="0">PI()*120^2*309</f>
        <v>13978830.671413144</v>
      </c>
    </row>
    <row r="6" spans="1:7" x14ac:dyDescent="0.25">
      <c r="B6" s="3">
        <v>36083</v>
      </c>
      <c r="C6" s="4">
        <v>1.0084100000000001E-5</v>
      </c>
      <c r="G6" s="10">
        <f t="shared" si="0"/>
        <v>13978830.671413144</v>
      </c>
    </row>
    <row r="7" spans="1:7" x14ac:dyDescent="0.25">
      <c r="B7" s="3">
        <v>36084</v>
      </c>
      <c r="C7" s="4">
        <v>2.3899900000000001E-5</v>
      </c>
      <c r="G7" s="10">
        <f t="shared" si="0"/>
        <v>13978830.671413144</v>
      </c>
    </row>
    <row r="8" spans="1:7" x14ac:dyDescent="0.25">
      <c r="B8" s="3">
        <v>36086</v>
      </c>
      <c r="C8" s="4">
        <v>4.0467199999999998E-5</v>
      </c>
      <c r="G8" s="10">
        <f t="shared" si="0"/>
        <v>13978830.671413144</v>
      </c>
    </row>
    <row r="9" spans="1:7" x14ac:dyDescent="0.25">
      <c r="B9" s="3">
        <v>37085</v>
      </c>
      <c r="C9" s="4">
        <v>2.3198699999999999E-5</v>
      </c>
      <c r="G9" s="10">
        <f t="shared" si="0"/>
        <v>13978830.671413144</v>
      </c>
    </row>
    <row r="10" spans="1:7" x14ac:dyDescent="0.25">
      <c r="B10" s="3">
        <v>37087</v>
      </c>
      <c r="C10" s="4">
        <v>5.6298799999999997E-5</v>
      </c>
      <c r="G10" s="10">
        <f t="shared" si="0"/>
        <v>13978830.671413144</v>
      </c>
    </row>
    <row r="11" spans="1:7" x14ac:dyDescent="0.25">
      <c r="B11" s="3">
        <v>38088</v>
      </c>
      <c r="C11" s="4">
        <v>7.6611299999999996E-5</v>
      </c>
      <c r="G11" s="10">
        <f t="shared" si="0"/>
        <v>13978830.671413144</v>
      </c>
    </row>
    <row r="12" spans="1:7" x14ac:dyDescent="0.25">
      <c r="B12" s="3">
        <v>38089</v>
      </c>
      <c r="C12" s="4">
        <v>2.33352E-5</v>
      </c>
      <c r="G12" s="10">
        <f t="shared" si="0"/>
        <v>13978830.671413144</v>
      </c>
    </row>
    <row r="13" spans="1:7" x14ac:dyDescent="0.25">
      <c r="B13" s="3">
        <v>38090</v>
      </c>
      <c r="C13" s="4">
        <v>1.23058E-4</v>
      </c>
      <c r="G13" s="10">
        <f t="shared" si="0"/>
        <v>13978830.671413144</v>
      </c>
    </row>
    <row r="14" spans="1:7" x14ac:dyDescent="0.25">
      <c r="B14" s="3">
        <v>39089</v>
      </c>
      <c r="C14" s="4">
        <v>7.8584799999999993E-5</v>
      </c>
      <c r="G14" s="10">
        <f t="shared" si="0"/>
        <v>13978830.671413144</v>
      </c>
    </row>
    <row r="15" spans="1:7" x14ac:dyDescent="0.25">
      <c r="B15" s="3">
        <v>39091</v>
      </c>
      <c r="C15" s="4">
        <v>3.2934300000000001E-5</v>
      </c>
      <c r="G15" s="10">
        <f t="shared" si="0"/>
        <v>13978830.671413144</v>
      </c>
    </row>
    <row r="16" spans="1:7" x14ac:dyDescent="0.25">
      <c r="B16" s="3">
        <v>40091</v>
      </c>
      <c r="C16" s="4">
        <v>9.3923800000000004E-5</v>
      </c>
      <c r="G16" s="10">
        <f t="shared" si="0"/>
        <v>13978830.671413144</v>
      </c>
    </row>
    <row r="17" spans="2:7" x14ac:dyDescent="0.25">
      <c r="B17" s="3">
        <v>40092</v>
      </c>
      <c r="C17" s="4">
        <v>1.3447599999999999E-4</v>
      </c>
      <c r="G17" s="10">
        <f t="shared" si="0"/>
        <v>13978830.671413144</v>
      </c>
    </row>
    <row r="18" spans="2:7" x14ac:dyDescent="0.25">
      <c r="B18" s="3">
        <v>40093</v>
      </c>
      <c r="C18" s="4">
        <v>1.4352599999999999E-4</v>
      </c>
      <c r="G18" s="10">
        <f t="shared" si="0"/>
        <v>13978830.671413144</v>
      </c>
    </row>
    <row r="19" spans="2:7" x14ac:dyDescent="0.25">
      <c r="B19" s="3">
        <v>40094</v>
      </c>
      <c r="C19" s="4">
        <v>1.5142500000000001E-4</v>
      </c>
      <c r="G19" s="10">
        <f t="shared" si="0"/>
        <v>13978830.671413144</v>
      </c>
    </row>
    <row r="20" spans="2:7" x14ac:dyDescent="0.25">
      <c r="B20" s="3">
        <v>40095</v>
      </c>
      <c r="C20" s="4">
        <v>4.3505399999999999E-5</v>
      </c>
      <c r="G20" s="10">
        <f t="shared" si="0"/>
        <v>13978830.671413144</v>
      </c>
    </row>
    <row r="21" spans="2:7" x14ac:dyDescent="0.25">
      <c r="B21" s="3">
        <v>40096</v>
      </c>
      <c r="C21" s="4">
        <v>1.5123599999999999E-4</v>
      </c>
      <c r="G21" s="10">
        <f t="shared" si="0"/>
        <v>13978830.671413144</v>
      </c>
    </row>
    <row r="22" spans="2:7" x14ac:dyDescent="0.25">
      <c r="B22" s="3">
        <v>41095</v>
      </c>
      <c r="C22" s="4">
        <v>2.02169E-5</v>
      </c>
      <c r="G22" s="10">
        <f t="shared" si="0"/>
        <v>13978830.671413144</v>
      </c>
    </row>
    <row r="23" spans="2:7" x14ac:dyDescent="0.25">
      <c r="B23" s="3">
        <v>42095</v>
      </c>
      <c r="C23" s="4">
        <v>8.5598800000000005E-5</v>
      </c>
      <c r="G23" s="10">
        <f t="shared" si="0"/>
        <v>13978830.671413144</v>
      </c>
    </row>
    <row r="24" spans="2:7" x14ac:dyDescent="0.25">
      <c r="B24" s="3">
        <v>42097</v>
      </c>
      <c r="C24" s="4">
        <v>1.08613E-4</v>
      </c>
      <c r="G24" s="10">
        <f t="shared" si="0"/>
        <v>13978830.671413144</v>
      </c>
    </row>
    <row r="25" spans="2:7" x14ac:dyDescent="0.25">
      <c r="B25" s="3">
        <v>42098</v>
      </c>
      <c r="C25" s="4">
        <v>1.4538600000000001E-4</v>
      </c>
      <c r="G25" s="10">
        <f t="shared" si="0"/>
        <v>13978830.671413144</v>
      </c>
    </row>
    <row r="26" spans="2:7" x14ac:dyDescent="0.25">
      <c r="B26" s="3">
        <v>42100</v>
      </c>
      <c r="C26" s="4">
        <v>1.6096900000000001E-4</v>
      </c>
      <c r="G26" s="10">
        <f t="shared" si="0"/>
        <v>13978830.671413144</v>
      </c>
    </row>
    <row r="27" spans="2:7" x14ac:dyDescent="0.25">
      <c r="B27" s="3">
        <v>43099</v>
      </c>
      <c r="C27" s="4">
        <v>1.3573799999999999E-4</v>
      </c>
      <c r="G27" s="10">
        <f t="shared" si="0"/>
        <v>13978830.671413144</v>
      </c>
    </row>
    <row r="28" spans="2:7" x14ac:dyDescent="0.25">
      <c r="B28" s="3">
        <v>44100</v>
      </c>
      <c r="C28" s="4">
        <v>1.6340600000000001E-5</v>
      </c>
      <c r="G28" s="10">
        <f t="shared" si="0"/>
        <v>13978830.671413144</v>
      </c>
    </row>
    <row r="29" spans="2:7" x14ac:dyDescent="0.25">
      <c r="B29" s="3">
        <v>44101</v>
      </c>
      <c r="C29" s="4">
        <v>1.30448E-4</v>
      </c>
      <c r="G29" s="10">
        <f t="shared" si="0"/>
        <v>13978830.671413144</v>
      </c>
    </row>
    <row r="30" spans="2:7" x14ac:dyDescent="0.25">
      <c r="B30" s="3">
        <v>44102</v>
      </c>
      <c r="C30" s="4">
        <v>1.2452399999999999E-4</v>
      </c>
      <c r="G30" s="10">
        <f t="shared" si="0"/>
        <v>13978830.671413144</v>
      </c>
    </row>
    <row r="31" spans="2:7" x14ac:dyDescent="0.25">
      <c r="B31" s="3">
        <v>44103</v>
      </c>
      <c r="C31" s="4">
        <v>2.0480400000000001E-5</v>
      </c>
      <c r="G31" s="10">
        <f t="shared" si="0"/>
        <v>13978830.671413144</v>
      </c>
    </row>
    <row r="32" spans="2:7" x14ac:dyDescent="0.25">
      <c r="B32" s="3">
        <v>44104</v>
      </c>
      <c r="C32" s="4">
        <v>7.2790800000000001E-5</v>
      </c>
      <c r="G32" s="10">
        <f t="shared" si="0"/>
        <v>13978830.671413144</v>
      </c>
    </row>
    <row r="33" spans="2:7" x14ac:dyDescent="0.25">
      <c r="B33" s="3">
        <v>44106</v>
      </c>
      <c r="C33" s="4">
        <v>2.6273000000000001E-5</v>
      </c>
      <c r="G33" s="10">
        <f t="shared" si="0"/>
        <v>13978830.671413144</v>
      </c>
    </row>
    <row r="34" spans="2:7" x14ac:dyDescent="0.25">
      <c r="B34" s="3">
        <v>45103</v>
      </c>
      <c r="C34" s="4">
        <v>5.4965500000000001E-5</v>
      </c>
      <c r="G34" s="10">
        <f t="shared" si="0"/>
        <v>13978830.671413144</v>
      </c>
    </row>
    <row r="35" spans="2:7" x14ac:dyDescent="0.25">
      <c r="B35" s="3">
        <v>45105</v>
      </c>
      <c r="C35" s="4">
        <v>4.30968E-7</v>
      </c>
      <c r="G35" s="10">
        <f t="shared" si="0"/>
        <v>13978830.671413144</v>
      </c>
    </row>
    <row r="36" spans="2:7" x14ac:dyDescent="0.25">
      <c r="B36" s="3">
        <v>46105</v>
      </c>
      <c r="C36" s="4">
        <v>4.12532E-5</v>
      </c>
      <c r="G36" s="10">
        <f t="shared" si="0"/>
        <v>13978830.671413144</v>
      </c>
    </row>
    <row r="37" spans="2:7" x14ac:dyDescent="0.25">
      <c r="B37" s="3">
        <v>46106</v>
      </c>
      <c r="C37" s="4">
        <v>1.77633E-5</v>
      </c>
      <c r="G37" s="10">
        <f t="shared" si="0"/>
        <v>13978830.671413144</v>
      </c>
    </row>
    <row r="38" spans="2:7" x14ac:dyDescent="0.25">
      <c r="B38" s="3">
        <v>46107</v>
      </c>
      <c r="C38" s="4">
        <v>2.2393899999999999E-5</v>
      </c>
      <c r="G38" s="10">
        <f t="shared" si="0"/>
        <v>13978830.671413144</v>
      </c>
    </row>
    <row r="39" spans="2:7" x14ac:dyDescent="0.25">
      <c r="B39" s="3">
        <v>46108</v>
      </c>
      <c r="C39" s="4">
        <v>1.4544E-5</v>
      </c>
      <c r="G39" s="10">
        <f t="shared" si="0"/>
        <v>13978830.671413144</v>
      </c>
    </row>
    <row r="40" spans="2:7" x14ac:dyDescent="0.25">
      <c r="B40" s="3">
        <v>47109</v>
      </c>
      <c r="C40" s="4">
        <v>7.8391700000000007E-6</v>
      </c>
      <c r="G40" s="10">
        <f t="shared" si="0"/>
        <v>13978830.671413144</v>
      </c>
    </row>
    <row r="41" spans="2:7" x14ac:dyDescent="0.25">
      <c r="B41" s="3">
        <v>52130</v>
      </c>
      <c r="C41" s="4">
        <v>4.8028000000000002E-5</v>
      </c>
      <c r="G41" s="10">
        <f t="shared" si="0"/>
        <v>13978830.671413144</v>
      </c>
    </row>
    <row r="42" spans="2:7" x14ac:dyDescent="0.25">
      <c r="B42" s="3">
        <v>53129</v>
      </c>
      <c r="C42" s="4">
        <v>1.7419599999999998E-5</v>
      </c>
      <c r="G42" s="10">
        <f t="shared" si="0"/>
        <v>13978830.671413144</v>
      </c>
    </row>
    <row r="43" spans="2:7" x14ac:dyDescent="0.25">
      <c r="B43" s="3">
        <v>54131</v>
      </c>
      <c r="C43" s="4">
        <v>5.3956199999999997E-5</v>
      </c>
      <c r="G43" s="10">
        <f t="shared" si="0"/>
        <v>13978830.671413144</v>
      </c>
    </row>
    <row r="44" spans="2:7" x14ac:dyDescent="0.25">
      <c r="B44" s="3">
        <v>54132</v>
      </c>
      <c r="C44" s="4">
        <v>1.3154900000000001E-4</v>
      </c>
      <c r="G44" s="10">
        <f t="shared" si="0"/>
        <v>13978830.671413144</v>
      </c>
    </row>
    <row r="45" spans="2:7" x14ac:dyDescent="0.25">
      <c r="B45" s="3">
        <v>54133</v>
      </c>
      <c r="C45" s="4">
        <v>5.1999400000000002E-6</v>
      </c>
      <c r="G45" s="10">
        <f t="shared" si="0"/>
        <v>13978830.671413144</v>
      </c>
    </row>
    <row r="46" spans="2:7" x14ac:dyDescent="0.25">
      <c r="B46" s="3">
        <v>54134</v>
      </c>
      <c r="C46" s="4">
        <v>1.98858E-4</v>
      </c>
      <c r="G46" s="10">
        <f t="shared" si="0"/>
        <v>13978830.671413144</v>
      </c>
    </row>
    <row r="47" spans="2:7" x14ac:dyDescent="0.25">
      <c r="B47" s="3">
        <v>54135</v>
      </c>
      <c r="C47" s="4">
        <v>5.2926199999999998E-8</v>
      </c>
      <c r="G47" s="10">
        <f t="shared" si="0"/>
        <v>13978830.671413144</v>
      </c>
    </row>
    <row r="48" spans="2:7" x14ac:dyDescent="0.25">
      <c r="B48" s="3">
        <v>54136</v>
      </c>
      <c r="C48" s="4">
        <v>3.0783699999999999E-4</v>
      </c>
      <c r="G48" s="10">
        <f t="shared" si="0"/>
        <v>13978830.671413144</v>
      </c>
    </row>
    <row r="49" spans="2:7" x14ac:dyDescent="0.25">
      <c r="B49" s="3">
        <v>55133</v>
      </c>
      <c r="C49" s="4">
        <v>1.42793E-4</v>
      </c>
      <c r="G49" s="10">
        <f t="shared" si="0"/>
        <v>13978830.671413144</v>
      </c>
    </row>
    <row r="50" spans="2:7" x14ac:dyDescent="0.25">
      <c r="B50" s="3">
        <v>55134</v>
      </c>
      <c r="C50" s="4">
        <v>1.7268599999999999E-5</v>
      </c>
      <c r="G50" s="10">
        <f t="shared" si="0"/>
        <v>13978830.671413144</v>
      </c>
    </row>
    <row r="51" spans="2:7" x14ac:dyDescent="0.25">
      <c r="B51" s="3">
        <v>55135</v>
      </c>
      <c r="C51" s="4">
        <v>2.74688E-5</v>
      </c>
      <c r="G51" s="10">
        <f t="shared" si="0"/>
        <v>13978830.671413144</v>
      </c>
    </row>
    <row r="52" spans="2:7" x14ac:dyDescent="0.25">
      <c r="B52" s="3">
        <v>55137</v>
      </c>
      <c r="C52" s="4">
        <v>1.5686500000000001E-4</v>
      </c>
      <c r="G52" s="10">
        <f t="shared" si="0"/>
        <v>13978830.671413144</v>
      </c>
    </row>
    <row r="53" spans="2:7" x14ac:dyDescent="0.25">
      <c r="B53" s="3">
        <v>56138</v>
      </c>
      <c r="C53" s="4">
        <v>1.67617E-4</v>
      </c>
      <c r="G53" s="10">
        <f t="shared" si="0"/>
        <v>13978830.671413144</v>
      </c>
    </row>
    <row r="54" spans="2:7" x14ac:dyDescent="0.25">
      <c r="B54" s="3">
        <v>56140</v>
      </c>
      <c r="C54" s="4">
        <v>1.10185E-5</v>
      </c>
      <c r="G54" s="10">
        <f t="shared" si="0"/>
        <v>13978830.671413144</v>
      </c>
    </row>
    <row r="55" spans="2:7" x14ac:dyDescent="0.25">
      <c r="B55" s="3">
        <v>57139</v>
      </c>
      <c r="C55" s="4">
        <v>1.56365E-4</v>
      </c>
      <c r="G55" s="10">
        <f t="shared" si="0"/>
        <v>13978830.671413144</v>
      </c>
    </row>
    <row r="56" spans="2:7" x14ac:dyDescent="0.25">
      <c r="B56" s="3">
        <v>58140</v>
      </c>
      <c r="C56" s="4">
        <v>1.4146499999999999E-4</v>
      </c>
      <c r="G56" s="10">
        <f t="shared" si="0"/>
        <v>13978830.671413144</v>
      </c>
    </row>
    <row r="57" spans="2:7" x14ac:dyDescent="0.25">
      <c r="B57" s="3">
        <v>58141</v>
      </c>
      <c r="C57" s="4">
        <v>2.3359599999999999E-5</v>
      </c>
      <c r="G57" s="10">
        <f t="shared" si="0"/>
        <v>13978830.671413144</v>
      </c>
    </row>
    <row r="58" spans="2:7" x14ac:dyDescent="0.25">
      <c r="B58" s="3">
        <v>58142</v>
      </c>
      <c r="C58" s="4">
        <v>1.4424899999999999E-4</v>
      </c>
      <c r="G58" s="10">
        <f t="shared" si="0"/>
        <v>13978830.671413144</v>
      </c>
    </row>
    <row r="59" spans="2:7" x14ac:dyDescent="0.25">
      <c r="B59" s="3">
        <v>58144</v>
      </c>
      <c r="C59" s="4">
        <v>8.6627900000000005E-5</v>
      </c>
      <c r="G59" s="10">
        <f t="shared" si="0"/>
        <v>13978830.671413144</v>
      </c>
    </row>
    <row r="60" spans="2:7" x14ac:dyDescent="0.25">
      <c r="B60" s="3">
        <v>59141</v>
      </c>
      <c r="C60" s="4">
        <v>1.16698E-4</v>
      </c>
      <c r="G60" s="10">
        <f t="shared" si="0"/>
        <v>13978830.671413144</v>
      </c>
    </row>
    <row r="61" spans="2:7" x14ac:dyDescent="0.25">
      <c r="B61" s="3">
        <v>59143</v>
      </c>
      <c r="C61" s="4">
        <v>1.0667E-5</v>
      </c>
      <c r="G61" s="10">
        <f t="shared" si="0"/>
        <v>13978830.671413144</v>
      </c>
    </row>
    <row r="62" spans="2:7" x14ac:dyDescent="0.25">
      <c r="B62" s="3">
        <v>60143</v>
      </c>
      <c r="C62" s="4">
        <v>1.00964E-4</v>
      </c>
      <c r="G62" s="10">
        <f t="shared" si="0"/>
        <v>13978830.671413144</v>
      </c>
    </row>
    <row r="63" spans="2:7" x14ac:dyDescent="0.25">
      <c r="B63" s="3">
        <v>60144</v>
      </c>
      <c r="C63" s="4">
        <v>7.1398700000000005E-5</v>
      </c>
      <c r="G63" s="10">
        <f t="shared" si="0"/>
        <v>13978830.671413144</v>
      </c>
    </row>
    <row r="64" spans="2:7" x14ac:dyDescent="0.25">
      <c r="B64" s="3">
        <v>60145</v>
      </c>
      <c r="C64" s="4">
        <v>8.4787400000000001E-5</v>
      </c>
      <c r="G64" s="10">
        <f t="shared" si="0"/>
        <v>13978830.671413144</v>
      </c>
    </row>
    <row r="65" spans="1:7" x14ac:dyDescent="0.25">
      <c r="B65" s="3">
        <v>60146</v>
      </c>
      <c r="C65" s="4">
        <v>8.2334499999999996E-5</v>
      </c>
      <c r="G65" s="10">
        <f t="shared" si="0"/>
        <v>13978830.671413144</v>
      </c>
    </row>
    <row r="66" spans="1:7" x14ac:dyDescent="0.25">
      <c r="B66" s="3">
        <v>60147</v>
      </c>
      <c r="C66" s="4">
        <v>3.3657100000000001E-6</v>
      </c>
      <c r="G66" s="10">
        <f t="shared" si="0"/>
        <v>13978830.671413144</v>
      </c>
    </row>
    <row r="67" spans="1:7" x14ac:dyDescent="0.25">
      <c r="B67" s="3">
        <v>60148</v>
      </c>
      <c r="C67" s="4">
        <v>4.40869E-5</v>
      </c>
      <c r="G67" s="10">
        <f t="shared" si="0"/>
        <v>13978830.671413144</v>
      </c>
    </row>
    <row r="68" spans="1:7" x14ac:dyDescent="0.25">
      <c r="B68" s="3">
        <v>60150</v>
      </c>
      <c r="C68" s="4">
        <v>1.8382399999999999E-5</v>
      </c>
      <c r="G68" s="10">
        <f t="shared" si="0"/>
        <v>13978830.671413144</v>
      </c>
    </row>
    <row r="69" spans="1:7" x14ac:dyDescent="0.25">
      <c r="B69" s="3">
        <v>61147</v>
      </c>
      <c r="C69" s="4">
        <v>2.5349499999999998E-5</v>
      </c>
      <c r="G69" s="10">
        <f t="shared" ref="G69:G92" si="1">PI()*120^2*309</f>
        <v>13978830.671413144</v>
      </c>
    </row>
    <row r="70" spans="1:7" x14ac:dyDescent="0.25">
      <c r="B70" s="3">
        <v>61149</v>
      </c>
      <c r="C70" s="4">
        <v>3.5030800000000002E-7</v>
      </c>
      <c r="G70" s="10">
        <f t="shared" si="1"/>
        <v>13978830.671413144</v>
      </c>
    </row>
    <row r="71" spans="1:7" x14ac:dyDescent="0.25">
      <c r="B71" s="3">
        <v>62147</v>
      </c>
      <c r="C71" s="4">
        <v>3.1402800000000001E-6</v>
      </c>
      <c r="G71" s="10">
        <f t="shared" si="1"/>
        <v>13978830.671413144</v>
      </c>
    </row>
    <row r="72" spans="1:7" x14ac:dyDescent="0.25">
      <c r="B72" s="3">
        <v>62149</v>
      </c>
      <c r="C72" s="4">
        <v>3.2433899999999998E-7</v>
      </c>
      <c r="G72" s="10">
        <f t="shared" si="1"/>
        <v>13978830.671413144</v>
      </c>
    </row>
    <row r="73" spans="1:7" x14ac:dyDescent="0.25">
      <c r="B73" s="3">
        <v>62150</v>
      </c>
      <c r="C73" s="4">
        <v>2.4283100000000001E-5</v>
      </c>
      <c r="G73" s="10">
        <f t="shared" si="1"/>
        <v>13978830.671413144</v>
      </c>
    </row>
    <row r="74" spans="1:7" x14ac:dyDescent="0.25">
      <c r="B74" s="3">
        <v>62151</v>
      </c>
      <c r="C74" s="4">
        <v>1.86627E-6</v>
      </c>
      <c r="G74" s="10">
        <f t="shared" si="1"/>
        <v>13978830.671413144</v>
      </c>
    </row>
    <row r="75" spans="1:7" x14ac:dyDescent="0.25">
      <c r="B75" s="3">
        <v>62152</v>
      </c>
      <c r="C75" s="4">
        <v>1.06573E-5</v>
      </c>
      <c r="G75" s="10">
        <f t="shared" si="1"/>
        <v>13978830.671413144</v>
      </c>
    </row>
    <row r="76" spans="1:7" x14ac:dyDescent="0.25">
      <c r="B76" s="3">
        <v>63153</v>
      </c>
      <c r="C76" s="4">
        <v>1.08169E-5</v>
      </c>
      <c r="G76" s="10">
        <f t="shared" si="1"/>
        <v>13978830.671413144</v>
      </c>
    </row>
    <row r="77" spans="1:7" x14ac:dyDescent="0.25">
      <c r="B77" s="3">
        <v>63154</v>
      </c>
      <c r="C77" s="4">
        <v>1.9352499999999998E-6</v>
      </c>
      <c r="G77" s="10">
        <f t="shared" si="1"/>
        <v>13978830.671413144</v>
      </c>
    </row>
    <row r="78" spans="1:7" x14ac:dyDescent="0.25">
      <c r="B78" s="3">
        <v>63155</v>
      </c>
      <c r="C78" s="4">
        <v>5.7612E-7</v>
      </c>
      <c r="G78" s="10">
        <f t="shared" si="1"/>
        <v>13978830.671413144</v>
      </c>
    </row>
    <row r="79" spans="1:7" x14ac:dyDescent="0.25">
      <c r="A79" t="s">
        <v>7</v>
      </c>
      <c r="B79" s="3">
        <v>64157</v>
      </c>
      <c r="C79" s="4">
        <v>1.7608699999999999E-8</v>
      </c>
      <c r="G79" s="10">
        <f t="shared" si="1"/>
        <v>13978830.671413144</v>
      </c>
    </row>
    <row r="80" spans="1:7" x14ac:dyDescent="0.25">
      <c r="B80" s="3">
        <v>92235</v>
      </c>
      <c r="C80" s="4">
        <v>2.23551E-3</v>
      </c>
      <c r="G80" s="10">
        <f t="shared" si="1"/>
        <v>13978830.671413144</v>
      </c>
    </row>
    <row r="81" spans="1:7" x14ac:dyDescent="0.25">
      <c r="B81" s="3">
        <v>92236</v>
      </c>
      <c r="C81" s="4">
        <v>4.3358399999999999E-4</v>
      </c>
      <c r="G81" s="10">
        <f t="shared" si="1"/>
        <v>13978830.671413144</v>
      </c>
    </row>
    <row r="82" spans="1:7" x14ac:dyDescent="0.25">
      <c r="B82" s="3">
        <v>92237</v>
      </c>
      <c r="C82" s="4">
        <v>2.8464700000000002E-6</v>
      </c>
      <c r="G82" s="10">
        <f t="shared" si="1"/>
        <v>13978830.671413144</v>
      </c>
    </row>
    <row r="83" spans="1:7" x14ac:dyDescent="0.25">
      <c r="A83" t="s">
        <v>11</v>
      </c>
      <c r="B83" s="3">
        <v>92238</v>
      </c>
      <c r="C83" s="4">
        <v>1.79355E-2</v>
      </c>
      <c r="G83" s="10">
        <f t="shared" si="1"/>
        <v>13978830.671413144</v>
      </c>
    </row>
    <row r="84" spans="1:7" x14ac:dyDescent="0.25">
      <c r="B84" s="3">
        <v>93237</v>
      </c>
      <c r="C84" s="4">
        <v>3.07925E-5</v>
      </c>
      <c r="G84" s="10">
        <f t="shared" si="1"/>
        <v>13978830.671413144</v>
      </c>
    </row>
    <row r="85" spans="1:7" x14ac:dyDescent="0.25">
      <c r="B85" s="3">
        <v>93239</v>
      </c>
      <c r="C85" s="4">
        <v>1.7189499999999999E-5</v>
      </c>
      <c r="G85" s="10">
        <f t="shared" si="1"/>
        <v>13978830.671413144</v>
      </c>
    </row>
    <row r="86" spans="1:7" x14ac:dyDescent="0.25">
      <c r="B86" s="3">
        <v>94238</v>
      </c>
      <c r="C86" s="4">
        <v>8.2998699999999995E-6</v>
      </c>
      <c r="G86" s="10">
        <f t="shared" si="1"/>
        <v>13978830.671413144</v>
      </c>
    </row>
    <row r="87" spans="1:7" x14ac:dyDescent="0.25">
      <c r="B87" s="3">
        <v>94239</v>
      </c>
      <c r="C87" s="4">
        <v>2.5854699999999998E-4</v>
      </c>
      <c r="G87" s="10">
        <f t="shared" si="1"/>
        <v>13978830.671413144</v>
      </c>
    </row>
    <row r="88" spans="1:7" x14ac:dyDescent="0.25">
      <c r="B88" s="3">
        <v>94240</v>
      </c>
      <c r="C88" s="4">
        <v>7.8549999999999998E-5</v>
      </c>
      <c r="G88" s="10">
        <f t="shared" si="1"/>
        <v>13978830.671413144</v>
      </c>
    </row>
    <row r="89" spans="1:7" x14ac:dyDescent="0.25">
      <c r="B89" s="3">
        <v>94241</v>
      </c>
      <c r="C89" s="4">
        <v>7.8057499999999996E-5</v>
      </c>
      <c r="G89" s="10">
        <f t="shared" si="1"/>
        <v>13978830.671413144</v>
      </c>
    </row>
    <row r="90" spans="1:7" x14ac:dyDescent="0.25">
      <c r="B90" s="3">
        <v>94242</v>
      </c>
      <c r="C90" s="4">
        <v>2.86215E-5</v>
      </c>
      <c r="G90" s="10">
        <f t="shared" si="1"/>
        <v>13978830.671413144</v>
      </c>
    </row>
    <row r="91" spans="1:7" x14ac:dyDescent="0.25">
      <c r="B91" s="3">
        <v>95241</v>
      </c>
      <c r="C91" s="4">
        <v>6.9777300000000001E-7</v>
      </c>
      <c r="G91" s="10">
        <f t="shared" si="1"/>
        <v>13978830.671413144</v>
      </c>
    </row>
    <row r="92" spans="1:7" x14ac:dyDescent="0.25">
      <c r="B92" s="3">
        <v>95243</v>
      </c>
      <c r="C92" s="4">
        <v>5.5396299999999998E-6</v>
      </c>
      <c r="G92" s="10">
        <f t="shared" si="1"/>
        <v>13978830.671413144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3DC3-8EE8-4844-931A-1B3F8D64E5EA}">
  <dimension ref="A3:E94"/>
  <sheetViews>
    <sheetView topLeftCell="A63" workbookViewId="0">
      <selection activeCell="C88" sqref="C88"/>
    </sheetView>
  </sheetViews>
  <sheetFormatPr baseColWidth="10" defaultColWidth="8.85546875" defaultRowHeight="15" x14ac:dyDescent="0.25"/>
  <cols>
    <col min="2" max="2" width="15" bestFit="1" customWidth="1"/>
    <col min="3" max="3" width="26.85546875" bestFit="1" customWidth="1"/>
    <col min="4" max="4" width="12" bestFit="1" customWidth="1"/>
    <col min="5" max="5" width="9.5703125" bestFit="1" customWidth="1"/>
  </cols>
  <sheetData>
    <row r="3" spans="2:5" ht="30" x14ac:dyDescent="0.25">
      <c r="B3" s="2" t="s">
        <v>2</v>
      </c>
      <c r="C3" s="2" t="s">
        <v>3</v>
      </c>
      <c r="D3" t="s">
        <v>5</v>
      </c>
      <c r="E3" t="s">
        <v>6</v>
      </c>
    </row>
    <row r="4" spans="2:5" x14ac:dyDescent="0.25">
      <c r="B4" s="3">
        <v>6012</v>
      </c>
      <c r="C4" s="4">
        <v>1.1821099999999999E-2</v>
      </c>
      <c r="D4">
        <f>'AZ6 RZ1'!C4-'AZ5 RZ1'!C4</f>
        <v>0</v>
      </c>
      <c r="E4" s="5">
        <f>D4/C4</f>
        <v>0</v>
      </c>
    </row>
    <row r="5" spans="2:5" x14ac:dyDescent="0.25">
      <c r="B5" s="3">
        <v>8016</v>
      </c>
      <c r="C5" s="4">
        <v>3.5463399999999999E-2</v>
      </c>
      <c r="D5">
        <f>'AZ6 RZ1'!C5-'AZ5 RZ1'!C5</f>
        <v>0</v>
      </c>
      <c r="E5" s="5">
        <f t="shared" ref="E5:E68" si="0">D5/C5</f>
        <v>0</v>
      </c>
    </row>
    <row r="6" spans="2:5" x14ac:dyDescent="0.25">
      <c r="B6" s="3">
        <v>36083</v>
      </c>
      <c r="C6" s="4">
        <v>9.8827699999999992E-6</v>
      </c>
      <c r="D6">
        <f>'AZ6 RZ1'!C6-'AZ5 RZ1'!C6</f>
        <v>2.0133000000000134E-7</v>
      </c>
      <c r="E6" s="5">
        <f t="shared" si="0"/>
        <v>2.0371818832169659E-2</v>
      </c>
    </row>
    <row r="7" spans="2:5" x14ac:dyDescent="0.25">
      <c r="B7" s="3">
        <v>36084</v>
      </c>
      <c r="C7" s="4">
        <v>2.3322299999999999E-5</v>
      </c>
      <c r="D7">
        <f>'AZ6 RZ1'!C7-'AZ5 RZ1'!C7</f>
        <v>5.7760000000000274E-7</v>
      </c>
      <c r="E7" s="5">
        <f t="shared" si="0"/>
        <v>2.4765996492627347E-2</v>
      </c>
    </row>
    <row r="8" spans="2:5" x14ac:dyDescent="0.25">
      <c r="B8" s="3">
        <v>36086</v>
      </c>
      <c r="C8" s="4">
        <v>3.9552299999999997E-5</v>
      </c>
      <c r="D8">
        <f>'AZ6 RZ1'!C8-'AZ5 RZ1'!C8</f>
        <v>9.1490000000000034E-7</v>
      </c>
      <c r="E8" s="5">
        <f t="shared" si="0"/>
        <v>2.3131398174063213E-2</v>
      </c>
    </row>
    <row r="9" spans="2:5" x14ac:dyDescent="0.25">
      <c r="B9" s="3">
        <v>37085</v>
      </c>
      <c r="C9" s="4">
        <v>2.2671200000000001E-5</v>
      </c>
      <c r="D9">
        <f>'AZ6 RZ1'!C9-'AZ5 RZ1'!C9</f>
        <v>5.2749999999999791E-7</v>
      </c>
      <c r="E9" s="5">
        <f t="shared" si="0"/>
        <v>2.3267405342460828E-2</v>
      </c>
    </row>
    <row r="10" spans="2:5" x14ac:dyDescent="0.25">
      <c r="B10" s="3">
        <v>37087</v>
      </c>
      <c r="C10" s="4">
        <v>5.5030800000000002E-5</v>
      </c>
      <c r="D10">
        <f>'AZ6 RZ1'!C10-'AZ5 RZ1'!C10</f>
        <v>1.2679999999999953E-6</v>
      </c>
      <c r="E10" s="5">
        <f t="shared" si="0"/>
        <v>2.3041642134949795E-2</v>
      </c>
    </row>
    <row r="11" spans="2:5" x14ac:dyDescent="0.25">
      <c r="B11" s="3">
        <v>38088</v>
      </c>
      <c r="C11" s="4">
        <v>7.4881600000000005E-5</v>
      </c>
      <c r="D11">
        <f>'AZ6 RZ1'!C11-'AZ5 RZ1'!C11</f>
        <v>1.7296999999999912E-6</v>
      </c>
      <c r="E11" s="5">
        <f t="shared" si="0"/>
        <v>2.3099132497168745E-2</v>
      </c>
    </row>
    <row r="12" spans="2:5" x14ac:dyDescent="0.25">
      <c r="B12" s="3">
        <v>38089</v>
      </c>
      <c r="C12" s="4">
        <v>2.3102300000000001E-5</v>
      </c>
      <c r="D12">
        <f>'AZ6 RZ1'!C12-'AZ5 RZ1'!C12</f>
        <v>2.3289999999999907E-7</v>
      </c>
      <c r="E12" s="5">
        <f t="shared" si="0"/>
        <v>1.0081247321695202E-2</v>
      </c>
    </row>
    <row r="13" spans="2:5" x14ac:dyDescent="0.25">
      <c r="B13" s="3">
        <v>38090</v>
      </c>
      <c r="C13" s="4">
        <v>1.20316E-4</v>
      </c>
      <c r="D13">
        <f>'AZ6 RZ1'!C13-'AZ5 RZ1'!C13</f>
        <v>2.7419999999999951E-6</v>
      </c>
      <c r="E13" s="5">
        <f t="shared" si="0"/>
        <v>2.2789986369227657E-2</v>
      </c>
    </row>
    <row r="14" spans="2:5" x14ac:dyDescent="0.25">
      <c r="B14" s="3">
        <v>39089</v>
      </c>
      <c r="C14" s="4">
        <v>7.6533399999999995E-5</v>
      </c>
      <c r="D14">
        <f>'AZ6 RZ1'!C14-'AZ5 RZ1'!C14</f>
        <v>2.0513999999999987E-6</v>
      </c>
      <c r="E14" s="5">
        <f t="shared" si="0"/>
        <v>2.6803983620223314E-2</v>
      </c>
    </row>
    <row r="15" spans="2:5" x14ac:dyDescent="0.25">
      <c r="B15" s="3">
        <v>39091</v>
      </c>
      <c r="C15" s="4">
        <v>3.25229E-5</v>
      </c>
      <c r="D15">
        <f>'AZ6 RZ1'!C15-'AZ5 RZ1'!C15</f>
        <v>4.1140000000000084E-7</v>
      </c>
      <c r="E15" s="5">
        <f t="shared" si="0"/>
        <v>1.2649548471999755E-2</v>
      </c>
    </row>
    <row r="16" spans="2:5" x14ac:dyDescent="0.25">
      <c r="B16" s="3">
        <v>40091</v>
      </c>
      <c r="C16" s="4">
        <v>9.1433099999999997E-5</v>
      </c>
      <c r="D16">
        <f>'AZ6 RZ1'!C16-'AZ5 RZ1'!C16</f>
        <v>2.4907000000000065E-6</v>
      </c>
      <c r="E16" s="5">
        <f t="shared" si="0"/>
        <v>2.7240681984970504E-2</v>
      </c>
    </row>
    <row r="17" spans="2:5" x14ac:dyDescent="0.25">
      <c r="B17" s="3">
        <v>40092</v>
      </c>
      <c r="C17" s="4">
        <v>1.31371E-4</v>
      </c>
      <c r="D17">
        <f>'AZ6 RZ1'!C17-'AZ5 RZ1'!C17</f>
        <v>3.1049999999999914E-6</v>
      </c>
      <c r="E17" s="5">
        <f t="shared" si="0"/>
        <v>2.3635353312374811E-2</v>
      </c>
    </row>
    <row r="18" spans="2:5" x14ac:dyDescent="0.25">
      <c r="B18" s="3">
        <v>40093</v>
      </c>
      <c r="C18" s="4">
        <v>1.40178E-4</v>
      </c>
      <c r="D18">
        <f>'AZ6 RZ1'!C18-'AZ5 RZ1'!C18</f>
        <v>3.3479999999999957E-6</v>
      </c>
      <c r="E18" s="5">
        <f t="shared" si="0"/>
        <v>2.3883919017249466E-2</v>
      </c>
    </row>
    <row r="19" spans="2:5" x14ac:dyDescent="0.25">
      <c r="B19" s="3">
        <v>40094</v>
      </c>
      <c r="C19" s="4">
        <v>1.4786199999999999E-4</v>
      </c>
      <c r="D19">
        <f>'AZ6 RZ1'!C19-'AZ5 RZ1'!C19</f>
        <v>3.5630000000000199E-6</v>
      </c>
      <c r="E19" s="5">
        <f t="shared" si="0"/>
        <v>2.4096792955593867E-2</v>
      </c>
    </row>
    <row r="20" spans="2:5" x14ac:dyDescent="0.25">
      <c r="B20" s="3">
        <v>40095</v>
      </c>
      <c r="C20" s="4">
        <v>4.29036E-5</v>
      </c>
      <c r="D20">
        <f>'AZ6 RZ1'!C20-'AZ5 RZ1'!C20</f>
        <v>6.017999999999982E-7</v>
      </c>
      <c r="E20" s="5">
        <f t="shared" si="0"/>
        <v>1.402679495426953E-2</v>
      </c>
    </row>
    <row r="21" spans="2:5" x14ac:dyDescent="0.25">
      <c r="B21" s="3">
        <v>40096</v>
      </c>
      <c r="C21" s="4">
        <v>1.47651E-4</v>
      </c>
      <c r="D21">
        <f>'AZ6 RZ1'!C21-'AZ5 RZ1'!C21</f>
        <v>3.5849999999999869E-6</v>
      </c>
      <c r="E21" s="5">
        <f t="shared" si="0"/>
        <v>2.4280228376373929E-2</v>
      </c>
    </row>
    <row r="22" spans="2:5" x14ac:dyDescent="0.25">
      <c r="B22" s="3">
        <v>41095</v>
      </c>
      <c r="C22" s="4">
        <v>1.97752E-5</v>
      </c>
      <c r="D22">
        <f>'AZ6 RZ1'!C22-'AZ5 RZ1'!C22</f>
        <v>4.4169999999999951E-7</v>
      </c>
      <c r="E22" s="5">
        <f t="shared" si="0"/>
        <v>2.2336057283870683E-2</v>
      </c>
    </row>
    <row r="23" spans="2:5" x14ac:dyDescent="0.25">
      <c r="B23" s="3">
        <v>42095</v>
      </c>
      <c r="C23" s="4">
        <v>8.3227199999999995E-5</v>
      </c>
      <c r="D23">
        <f>'AZ6 RZ1'!C23-'AZ5 RZ1'!C23</f>
        <v>2.3716000000000096E-6</v>
      </c>
      <c r="E23" s="5">
        <f t="shared" si="0"/>
        <v>2.8495491858431015E-2</v>
      </c>
    </row>
    <row r="24" spans="2:5" x14ac:dyDescent="0.25">
      <c r="B24" s="3">
        <v>42097</v>
      </c>
      <c r="C24" s="4">
        <v>1.05955E-4</v>
      </c>
      <c r="D24">
        <f>'AZ6 RZ1'!C24-'AZ5 RZ1'!C24</f>
        <v>2.6580000000000006E-6</v>
      </c>
      <c r="E24" s="5">
        <f t="shared" si="0"/>
        <v>2.508612146666038E-2</v>
      </c>
    </row>
    <row r="25" spans="2:5" x14ac:dyDescent="0.25">
      <c r="B25" s="3">
        <v>42098</v>
      </c>
      <c r="C25" s="4">
        <v>1.4184000000000001E-4</v>
      </c>
      <c r="D25">
        <f>'AZ6 RZ1'!C25-'AZ5 RZ1'!C25</f>
        <v>3.5459999999999962E-6</v>
      </c>
      <c r="E25" s="5">
        <f t="shared" si="0"/>
        <v>2.499999999999997E-2</v>
      </c>
    </row>
    <row r="26" spans="2:5" x14ac:dyDescent="0.25">
      <c r="B26" s="3">
        <v>42100</v>
      </c>
      <c r="C26" s="4">
        <v>1.5702399999999999E-4</v>
      </c>
      <c r="D26">
        <f>'AZ6 RZ1'!C26-'AZ5 RZ1'!C26</f>
        <v>3.9450000000000173E-6</v>
      </c>
      <c r="E26" s="5">
        <f t="shared" si="0"/>
        <v>2.5123547992663652E-2</v>
      </c>
    </row>
    <row r="27" spans="2:5" x14ac:dyDescent="0.25">
      <c r="B27" s="3">
        <v>43099</v>
      </c>
      <c r="C27" s="4">
        <v>1.3243099999999999E-4</v>
      </c>
      <c r="D27">
        <f>'AZ6 RZ1'!C27-'AZ5 RZ1'!C27</f>
        <v>3.3070000000000007E-6</v>
      </c>
      <c r="E27" s="5">
        <f t="shared" si="0"/>
        <v>2.4971494589635365E-2</v>
      </c>
    </row>
    <row r="28" spans="2:5" x14ac:dyDescent="0.25">
      <c r="B28" s="3">
        <v>44100</v>
      </c>
      <c r="C28" s="4">
        <v>1.5625699999999998E-5</v>
      </c>
      <c r="D28">
        <f>'AZ6 RZ1'!C28-'AZ5 RZ1'!C28</f>
        <v>7.1490000000000225E-7</v>
      </c>
      <c r="E28" s="5">
        <f t="shared" si="0"/>
        <v>4.5751550330545343E-2</v>
      </c>
    </row>
    <row r="29" spans="2:5" x14ac:dyDescent="0.25">
      <c r="B29" s="3">
        <v>44101</v>
      </c>
      <c r="C29" s="4">
        <v>1.2731E-4</v>
      </c>
      <c r="D29">
        <f>'AZ6 RZ1'!C29-'AZ5 RZ1'!C29</f>
        <v>3.137999999999996E-6</v>
      </c>
      <c r="E29" s="5">
        <f t="shared" si="0"/>
        <v>2.4648495797659226E-2</v>
      </c>
    </row>
    <row r="30" spans="2:5" x14ac:dyDescent="0.25">
      <c r="B30" s="3">
        <v>44102</v>
      </c>
      <c r="C30" s="4">
        <v>1.21245E-4</v>
      </c>
      <c r="D30">
        <f>'AZ6 RZ1'!C30-'AZ5 RZ1'!C30</f>
        <v>3.2789999999999935E-6</v>
      </c>
      <c r="E30" s="5">
        <f t="shared" si="0"/>
        <v>2.7044414202647478E-2</v>
      </c>
    </row>
    <row r="31" spans="2:5" x14ac:dyDescent="0.25">
      <c r="B31" s="3">
        <v>44103</v>
      </c>
      <c r="C31" s="4">
        <v>2.0131799999999999E-5</v>
      </c>
      <c r="D31">
        <f>'AZ6 RZ1'!C31-'AZ5 RZ1'!C31</f>
        <v>3.4860000000000205E-7</v>
      </c>
      <c r="E31" s="5">
        <f t="shared" si="0"/>
        <v>1.7315888296128616E-2</v>
      </c>
    </row>
    <row r="32" spans="2:5" x14ac:dyDescent="0.25">
      <c r="B32" s="3">
        <v>44104</v>
      </c>
      <c r="C32" s="4">
        <v>7.0717399999999995E-5</v>
      </c>
      <c r="D32">
        <f>'AZ6 RZ1'!C32-'AZ5 RZ1'!C32</f>
        <v>2.0734000000000063E-6</v>
      </c>
      <c r="E32" s="5">
        <f t="shared" si="0"/>
        <v>2.9319516837440381E-2</v>
      </c>
    </row>
    <row r="33" spans="2:5" x14ac:dyDescent="0.25">
      <c r="B33" s="3">
        <v>44106</v>
      </c>
      <c r="C33" s="4">
        <v>2.54616E-5</v>
      </c>
      <c r="D33">
        <f>'AZ6 RZ1'!C33-'AZ5 RZ1'!C33</f>
        <v>8.114000000000004E-7</v>
      </c>
      <c r="E33" s="5">
        <f t="shared" si="0"/>
        <v>3.1867596694630358E-2</v>
      </c>
    </row>
    <row r="34" spans="2:5" x14ac:dyDescent="0.25">
      <c r="B34" s="3">
        <v>45103</v>
      </c>
      <c r="C34" s="4">
        <v>5.3691199999999998E-5</v>
      </c>
      <c r="D34">
        <f>'AZ6 RZ1'!C34-'AZ5 RZ1'!C34</f>
        <v>1.2743000000000024E-6</v>
      </c>
      <c r="E34" s="5">
        <f t="shared" si="0"/>
        <v>2.3733870727419063E-2</v>
      </c>
    </row>
    <row r="35" spans="2:5" x14ac:dyDescent="0.25">
      <c r="B35" s="3">
        <v>45105</v>
      </c>
      <c r="C35" s="4">
        <v>4.5648799999999998E-7</v>
      </c>
      <c r="D35">
        <f>'AZ6 RZ1'!C35-'AZ5 RZ1'!C35</f>
        <v>-2.551999999999998E-8</v>
      </c>
      <c r="E35" s="5">
        <f t="shared" si="0"/>
        <v>-5.5905084032877056E-2</v>
      </c>
    </row>
    <row r="36" spans="2:5" x14ac:dyDescent="0.25">
      <c r="B36" s="3">
        <v>46105</v>
      </c>
      <c r="C36" s="4">
        <v>4.0009899999999998E-5</v>
      </c>
      <c r="D36">
        <f>'AZ6 RZ1'!C36-'AZ5 RZ1'!C36</f>
        <v>1.2433000000000021E-6</v>
      </c>
      <c r="E36" s="5">
        <f t="shared" si="0"/>
        <v>3.1074808984776322E-2</v>
      </c>
    </row>
    <row r="37" spans="2:5" x14ac:dyDescent="0.25">
      <c r="B37" s="3">
        <v>46106</v>
      </c>
      <c r="C37" s="4">
        <v>1.7093500000000002E-5</v>
      </c>
      <c r="D37">
        <f>'AZ6 RZ1'!C37-'AZ5 RZ1'!C37</f>
        <v>6.6979999999999823E-7</v>
      </c>
      <c r="E37" s="5">
        <f t="shared" si="0"/>
        <v>3.9184485330681147E-2</v>
      </c>
    </row>
    <row r="38" spans="2:5" x14ac:dyDescent="0.25">
      <c r="B38" s="3">
        <v>46107</v>
      </c>
      <c r="C38" s="4">
        <v>2.1634400000000001E-5</v>
      </c>
      <c r="D38">
        <f>'AZ6 RZ1'!C38-'AZ5 RZ1'!C38</f>
        <v>7.594999999999984E-7</v>
      </c>
      <c r="E38" s="5">
        <f t="shared" si="0"/>
        <v>3.5106127278778168E-2</v>
      </c>
    </row>
    <row r="39" spans="2:5" x14ac:dyDescent="0.25">
      <c r="B39" s="3">
        <v>46108</v>
      </c>
      <c r="C39" s="4">
        <v>1.40312E-5</v>
      </c>
      <c r="D39">
        <f>'AZ6 RZ1'!C39-'AZ5 RZ1'!C39</f>
        <v>5.1279999999999956E-7</v>
      </c>
      <c r="E39" s="5">
        <f t="shared" si="0"/>
        <v>3.654712355322421E-2</v>
      </c>
    </row>
    <row r="40" spans="2:5" x14ac:dyDescent="0.25">
      <c r="B40" s="3">
        <v>47109</v>
      </c>
      <c r="C40" s="4">
        <v>7.5828700000000003E-6</v>
      </c>
      <c r="D40">
        <f>'AZ6 RZ1'!C40-'AZ5 RZ1'!C40</f>
        <v>2.5630000000000041E-7</v>
      </c>
      <c r="E40" s="5">
        <f t="shared" si="0"/>
        <v>3.3799867332553558E-2</v>
      </c>
    </row>
    <row r="41" spans="2:5" x14ac:dyDescent="0.25">
      <c r="B41" s="3">
        <v>52130</v>
      </c>
      <c r="C41" s="4">
        <v>4.6830999999999999E-5</v>
      </c>
      <c r="D41">
        <f>'AZ6 RZ1'!C41-'AZ5 RZ1'!C41</f>
        <v>1.1970000000000023E-6</v>
      </c>
      <c r="E41" s="5">
        <f t="shared" si="0"/>
        <v>2.5559992312784316E-2</v>
      </c>
    </row>
    <row r="42" spans="2:5" x14ac:dyDescent="0.25">
      <c r="B42" s="3">
        <v>53129</v>
      </c>
      <c r="C42" s="4">
        <v>1.6958700000000001E-5</v>
      </c>
      <c r="D42">
        <f>'AZ6 RZ1'!C42-'AZ5 RZ1'!C42</f>
        <v>4.6089999999999757E-7</v>
      </c>
      <c r="E42" s="5">
        <f t="shared" si="0"/>
        <v>2.7177790750470117E-2</v>
      </c>
    </row>
    <row r="43" spans="2:5" x14ac:dyDescent="0.25">
      <c r="B43" s="3">
        <v>54131</v>
      </c>
      <c r="C43" s="4">
        <v>5.2686299999999997E-5</v>
      </c>
      <c r="D43">
        <f>'AZ6 RZ1'!C43-'AZ5 RZ1'!C43</f>
        <v>1.2698999999999995E-6</v>
      </c>
      <c r="E43" s="5">
        <f t="shared" si="0"/>
        <v>2.4103040069240002E-2</v>
      </c>
    </row>
    <row r="44" spans="2:5" x14ac:dyDescent="0.25">
      <c r="B44" s="3">
        <v>54132</v>
      </c>
      <c r="C44" s="4">
        <v>1.2769800000000001E-4</v>
      </c>
      <c r="D44">
        <f>'AZ6 RZ1'!C44-'AZ5 RZ1'!C44</f>
        <v>3.8510000000000009E-6</v>
      </c>
      <c r="E44" s="5">
        <f t="shared" si="0"/>
        <v>3.0157089382762459E-2</v>
      </c>
    </row>
    <row r="45" spans="2:5" x14ac:dyDescent="0.25">
      <c r="B45" s="3">
        <v>54133</v>
      </c>
      <c r="C45" s="4">
        <v>5.5378099999999996E-6</v>
      </c>
      <c r="D45">
        <f>'AZ6 RZ1'!C45-'AZ5 RZ1'!C45</f>
        <v>-3.3786999999999936E-7</v>
      </c>
      <c r="E45" s="5">
        <f t="shared" si="0"/>
        <v>-6.1011482878610745E-2</v>
      </c>
    </row>
    <row r="46" spans="2:5" x14ac:dyDescent="0.25">
      <c r="B46" s="3">
        <v>54134</v>
      </c>
      <c r="C46" s="4">
        <v>1.9399700000000001E-4</v>
      </c>
      <c r="D46">
        <f>'AZ6 RZ1'!C46-'AZ5 RZ1'!C46</f>
        <v>4.8609999999999929E-6</v>
      </c>
      <c r="E46" s="5">
        <f t="shared" si="0"/>
        <v>2.5057088511677979E-2</v>
      </c>
    </row>
    <row r="47" spans="2:5" x14ac:dyDescent="0.25">
      <c r="B47" s="3">
        <v>54135</v>
      </c>
      <c r="C47" s="4">
        <v>5.3832100000000001E-8</v>
      </c>
      <c r="D47">
        <f>'AZ6 RZ1'!C47-'AZ5 RZ1'!C47</f>
        <v>-9.0590000000000284E-10</v>
      </c>
      <c r="E47" s="5">
        <f t="shared" si="0"/>
        <v>-1.6828249315928651E-2</v>
      </c>
    </row>
    <row r="48" spans="2:5" x14ac:dyDescent="0.25">
      <c r="B48" s="3">
        <v>54136</v>
      </c>
      <c r="C48" s="4">
        <v>3.0017299999999999E-4</v>
      </c>
      <c r="D48">
        <f>'AZ6 RZ1'!C48-'AZ5 RZ1'!C48</f>
        <v>7.6639999999999998E-6</v>
      </c>
      <c r="E48" s="5">
        <f t="shared" si="0"/>
        <v>2.553194324606144E-2</v>
      </c>
    </row>
    <row r="49" spans="2:5" x14ac:dyDescent="0.25">
      <c r="B49" s="3">
        <v>55133</v>
      </c>
      <c r="C49" s="4">
        <v>1.39126E-4</v>
      </c>
      <c r="D49">
        <f>'AZ6 RZ1'!C49-'AZ5 RZ1'!C49</f>
        <v>3.667000000000004E-6</v>
      </c>
      <c r="E49" s="5">
        <f t="shared" si="0"/>
        <v>2.635740264220925E-2</v>
      </c>
    </row>
    <row r="50" spans="2:5" x14ac:dyDescent="0.25">
      <c r="B50" s="3">
        <v>55134</v>
      </c>
      <c r="C50" s="4">
        <v>1.65381E-5</v>
      </c>
      <c r="D50">
        <f>'AZ6 RZ1'!C50-'AZ5 RZ1'!C50</f>
        <v>7.3049999999999919E-7</v>
      </c>
      <c r="E50" s="5">
        <f t="shared" si="0"/>
        <v>4.4170733034629081E-2</v>
      </c>
    </row>
    <row r="51" spans="2:5" x14ac:dyDescent="0.25">
      <c r="B51" s="3">
        <v>55135</v>
      </c>
      <c r="C51" s="4">
        <v>2.6768399999999999E-5</v>
      </c>
      <c r="D51">
        <f>'AZ6 RZ1'!C51-'AZ5 RZ1'!C51</f>
        <v>7.0040000000000095E-7</v>
      </c>
      <c r="E51" s="5">
        <f t="shared" si="0"/>
        <v>2.6165179838914577E-2</v>
      </c>
    </row>
    <row r="52" spans="2:5" x14ac:dyDescent="0.25">
      <c r="B52" s="3">
        <v>55137</v>
      </c>
      <c r="C52" s="4">
        <v>1.5302600000000001E-4</v>
      </c>
      <c r="D52">
        <f>'AZ6 RZ1'!C52-'AZ5 RZ1'!C52</f>
        <v>3.8390000000000017E-6</v>
      </c>
      <c r="E52" s="5">
        <f t="shared" si="0"/>
        <v>2.5087240076849697E-2</v>
      </c>
    </row>
    <row r="53" spans="2:5" x14ac:dyDescent="0.25">
      <c r="B53" s="3">
        <v>56138</v>
      </c>
      <c r="C53" s="4">
        <v>1.63552E-4</v>
      </c>
      <c r="D53">
        <f>'AZ6 RZ1'!C53-'AZ5 RZ1'!C53</f>
        <v>4.0650000000000094E-6</v>
      </c>
      <c r="E53" s="5">
        <f t="shared" si="0"/>
        <v>2.485448053218554E-2</v>
      </c>
    </row>
    <row r="54" spans="2:5" x14ac:dyDescent="0.25">
      <c r="B54" s="3">
        <v>56140</v>
      </c>
      <c r="C54" s="4">
        <v>1.12568E-5</v>
      </c>
      <c r="D54">
        <f>'AZ6 RZ1'!C54-'AZ5 RZ1'!C54</f>
        <v>-2.3830000000000075E-7</v>
      </c>
      <c r="E54" s="5">
        <f t="shared" si="0"/>
        <v>-2.1169426479994379E-2</v>
      </c>
    </row>
    <row r="55" spans="2:5" x14ac:dyDescent="0.25">
      <c r="B55" s="3">
        <v>57139</v>
      </c>
      <c r="C55" s="4">
        <v>1.52604E-4</v>
      </c>
      <c r="D55">
        <f>'AZ6 RZ1'!C55-'AZ5 RZ1'!C55</f>
        <v>3.7609999999999933E-6</v>
      </c>
      <c r="E55" s="5">
        <f t="shared" si="0"/>
        <v>2.464548766742676E-2</v>
      </c>
    </row>
    <row r="56" spans="2:5" x14ac:dyDescent="0.25">
      <c r="B56" s="3">
        <v>58140</v>
      </c>
      <c r="C56" s="4">
        <v>1.3747299999999999E-4</v>
      </c>
      <c r="D56">
        <f>'AZ6 RZ1'!C56-'AZ5 RZ1'!C56</f>
        <v>3.9919999999999984E-6</v>
      </c>
      <c r="E56" s="5">
        <f t="shared" si="0"/>
        <v>2.9038429364311526E-2</v>
      </c>
    </row>
    <row r="57" spans="2:5" x14ac:dyDescent="0.25">
      <c r="B57" s="3">
        <v>58141</v>
      </c>
      <c r="C57" s="4">
        <v>2.3149499999999999E-5</v>
      </c>
      <c r="D57">
        <f>'AZ6 RZ1'!C57-'AZ5 RZ1'!C57</f>
        <v>2.100999999999999E-7</v>
      </c>
      <c r="E57" s="5">
        <f t="shared" si="0"/>
        <v>9.075789973865522E-3</v>
      </c>
    </row>
    <row r="58" spans="2:5" x14ac:dyDescent="0.25">
      <c r="B58" s="3">
        <v>58142</v>
      </c>
      <c r="C58" s="4">
        <v>1.4076299999999999E-4</v>
      </c>
      <c r="D58">
        <f>'AZ6 RZ1'!C58-'AZ5 RZ1'!C58</f>
        <v>3.4860000000000002E-6</v>
      </c>
      <c r="E58" s="5">
        <f t="shared" si="0"/>
        <v>2.4765030583320902E-2</v>
      </c>
    </row>
    <row r="59" spans="2:5" x14ac:dyDescent="0.25">
      <c r="B59" s="3">
        <v>58144</v>
      </c>
      <c r="C59" s="4">
        <v>8.4927700000000003E-5</v>
      </c>
      <c r="D59">
        <f>'AZ6 RZ1'!C59-'AZ5 RZ1'!C59</f>
        <v>1.7002000000000011E-6</v>
      </c>
      <c r="E59" s="5">
        <f t="shared" si="0"/>
        <v>2.0019381191295666E-2</v>
      </c>
    </row>
    <row r="60" spans="2:5" x14ac:dyDescent="0.25">
      <c r="B60" s="3">
        <v>59141</v>
      </c>
      <c r="C60" s="4">
        <v>1.13566E-4</v>
      </c>
      <c r="D60">
        <f>'AZ6 RZ1'!C60-'AZ5 RZ1'!C60</f>
        <v>3.1319999999999964E-6</v>
      </c>
      <c r="E60" s="5">
        <f t="shared" si="0"/>
        <v>2.75786767166229E-2</v>
      </c>
    </row>
    <row r="61" spans="2:5" x14ac:dyDescent="0.25">
      <c r="B61" s="3">
        <v>59143</v>
      </c>
      <c r="C61" s="4">
        <v>1.07824E-5</v>
      </c>
      <c r="D61">
        <f>'AZ6 RZ1'!C61-'AZ5 RZ1'!C61</f>
        <v>-1.1540000000000062E-7</v>
      </c>
      <c r="E61" s="5">
        <f t="shared" si="0"/>
        <v>-1.0702626502448492E-2</v>
      </c>
    </row>
    <row r="62" spans="2:5" x14ac:dyDescent="0.25">
      <c r="B62" s="3">
        <v>60143</v>
      </c>
      <c r="C62" s="4">
        <v>9.8456399999999995E-5</v>
      </c>
      <c r="D62">
        <f>'AZ6 RZ1'!C62-'AZ5 RZ1'!C62</f>
        <v>2.5076000000000097E-6</v>
      </c>
      <c r="E62" s="5">
        <f t="shared" si="0"/>
        <v>2.5469141670831048E-2</v>
      </c>
    </row>
    <row r="63" spans="2:5" x14ac:dyDescent="0.25">
      <c r="B63" s="3">
        <v>60144</v>
      </c>
      <c r="C63" s="4">
        <v>6.8976700000000007E-5</v>
      </c>
      <c r="D63">
        <f>'AZ6 RZ1'!C63-'AZ5 RZ1'!C63</f>
        <v>2.4219999999999982E-6</v>
      </c>
      <c r="E63" s="5">
        <f t="shared" si="0"/>
        <v>3.5113306377370881E-2</v>
      </c>
    </row>
    <row r="64" spans="2:5" x14ac:dyDescent="0.25">
      <c r="B64" s="3">
        <v>60145</v>
      </c>
      <c r="C64" s="4">
        <v>8.2917400000000007E-5</v>
      </c>
      <c r="D64">
        <f>'AZ6 RZ1'!C64-'AZ5 RZ1'!C64</f>
        <v>1.869999999999994E-6</v>
      </c>
      <c r="E64" s="5">
        <f t="shared" si="0"/>
        <v>2.2552564359229713E-2</v>
      </c>
    </row>
    <row r="65" spans="1:5" x14ac:dyDescent="0.25">
      <c r="B65" s="3">
        <v>60146</v>
      </c>
      <c r="C65" s="4">
        <v>8.0183800000000003E-5</v>
      </c>
      <c r="D65">
        <f>'AZ6 RZ1'!C65-'AZ5 RZ1'!C65</f>
        <v>2.1506999999999928E-6</v>
      </c>
      <c r="E65" s="5">
        <f t="shared" si="0"/>
        <v>2.6822126165135511E-2</v>
      </c>
    </row>
    <row r="66" spans="1:5" x14ac:dyDescent="0.25">
      <c r="B66" s="3">
        <v>60147</v>
      </c>
      <c r="C66" s="4">
        <v>3.4686699999999999E-6</v>
      </c>
      <c r="D66">
        <f>'AZ6 RZ1'!C66-'AZ5 RZ1'!C66</f>
        <v>-1.0295999999999986E-7</v>
      </c>
      <c r="E66" s="5">
        <f t="shared" si="0"/>
        <v>-2.9682846739528368E-2</v>
      </c>
    </row>
    <row r="67" spans="1:5" x14ac:dyDescent="0.25">
      <c r="B67" s="3">
        <v>60148</v>
      </c>
      <c r="C67" s="4">
        <v>4.2998599999999999E-5</v>
      </c>
      <c r="D67">
        <f>'AZ6 RZ1'!C67-'AZ5 RZ1'!C67</f>
        <v>1.0883000000000011E-6</v>
      </c>
      <c r="E67" s="5">
        <f t="shared" si="0"/>
        <v>2.5310126376207623E-2</v>
      </c>
    </row>
    <row r="68" spans="1:5" x14ac:dyDescent="0.25">
      <c r="B68" s="3">
        <v>60150</v>
      </c>
      <c r="C68" s="4">
        <v>1.79115E-5</v>
      </c>
      <c r="D68">
        <f>'AZ6 RZ1'!C68-'AZ5 RZ1'!C68</f>
        <v>4.7089999999999917E-7</v>
      </c>
      <c r="E68" s="5">
        <f t="shared" si="0"/>
        <v>2.6290372107305317E-2</v>
      </c>
    </row>
    <row r="69" spans="1:5" x14ac:dyDescent="0.25">
      <c r="B69" s="3">
        <v>61147</v>
      </c>
      <c r="C69" s="4">
        <v>2.4873599999999998E-5</v>
      </c>
      <c r="D69">
        <f>'AZ6 RZ1'!C69-'AZ5 RZ1'!C69</f>
        <v>4.7589999999999997E-7</v>
      </c>
      <c r="E69" s="5">
        <f t="shared" ref="E69:E79" si="1">D69/C69</f>
        <v>1.9132735108709636E-2</v>
      </c>
    </row>
    <row r="70" spans="1:5" x14ac:dyDescent="0.25">
      <c r="B70" s="3">
        <v>61149</v>
      </c>
      <c r="C70" s="4">
        <v>3.82414E-7</v>
      </c>
      <c r="D70">
        <f>'AZ6 RZ1'!C70-'AZ5 RZ1'!C70</f>
        <v>-3.2105999999999983E-8</v>
      </c>
      <c r="E70" s="5">
        <f t="shared" si="1"/>
        <v>-8.3956131313184093E-2</v>
      </c>
    </row>
    <row r="71" spans="1:5" x14ac:dyDescent="0.25">
      <c r="B71" s="3">
        <v>62147</v>
      </c>
      <c r="C71" s="4">
        <v>3.0647000000000001E-6</v>
      </c>
      <c r="D71">
        <f>'AZ6 RZ1'!C71-'AZ5 RZ1'!C71</f>
        <v>7.5580000000000045E-8</v>
      </c>
      <c r="E71" s="5">
        <f t="shared" si="1"/>
        <v>2.4661467680360247E-2</v>
      </c>
    </row>
    <row r="72" spans="1:5" x14ac:dyDescent="0.25">
      <c r="B72" s="3">
        <v>62149</v>
      </c>
      <c r="C72" s="4">
        <v>3.2021799999999999E-7</v>
      </c>
      <c r="D72">
        <f>'AZ6 RZ1'!C72-'AZ5 RZ1'!C72</f>
        <v>4.1209999999999877E-9</v>
      </c>
      <c r="E72" s="5">
        <f t="shared" si="1"/>
        <v>1.2869357750032753E-2</v>
      </c>
    </row>
    <row r="73" spans="1:5" x14ac:dyDescent="0.25">
      <c r="B73" s="3">
        <v>62150</v>
      </c>
      <c r="C73" s="4">
        <v>2.3688799999999999E-5</v>
      </c>
      <c r="D73">
        <f>'AZ6 RZ1'!C73-'AZ5 RZ1'!C73</f>
        <v>5.9430000000000209E-7</v>
      </c>
      <c r="E73" s="5">
        <f t="shared" si="1"/>
        <v>2.5087805207524318E-2</v>
      </c>
    </row>
    <row r="74" spans="1:5" x14ac:dyDescent="0.25">
      <c r="B74" s="3">
        <v>62151</v>
      </c>
      <c r="C74" s="4">
        <v>1.8239499999999999E-6</v>
      </c>
      <c r="D74">
        <f>'AZ6 RZ1'!C74-'AZ5 RZ1'!C74</f>
        <v>4.232000000000013E-8</v>
      </c>
      <c r="E74" s="5">
        <f t="shared" si="1"/>
        <v>2.3202390416404029E-2</v>
      </c>
    </row>
    <row r="75" spans="1:5" x14ac:dyDescent="0.25">
      <c r="B75" s="3">
        <v>62152</v>
      </c>
      <c r="C75" s="4">
        <v>1.04818E-5</v>
      </c>
      <c r="D75">
        <f>'AZ6 RZ1'!C75-'AZ5 RZ1'!C75</f>
        <v>1.7550000000000027E-7</v>
      </c>
      <c r="E75" s="5">
        <f t="shared" si="1"/>
        <v>1.6743307447194211E-2</v>
      </c>
    </row>
    <row r="76" spans="1:5" x14ac:dyDescent="0.25">
      <c r="B76" s="3">
        <v>63153</v>
      </c>
      <c r="C76" s="4">
        <v>1.0455800000000001E-5</v>
      </c>
      <c r="D76">
        <f>'AZ6 RZ1'!C76-'AZ5 RZ1'!C76</f>
        <v>3.6109999999999897E-7</v>
      </c>
      <c r="E76" s="5">
        <f t="shared" si="1"/>
        <v>3.4535855697316223E-2</v>
      </c>
    </row>
    <row r="77" spans="1:5" x14ac:dyDescent="0.25">
      <c r="B77" s="3">
        <v>63154</v>
      </c>
      <c r="C77" s="4">
        <v>1.8504399999999999E-6</v>
      </c>
      <c r="D77">
        <f>'AZ6 RZ1'!C77-'AZ5 RZ1'!C77</f>
        <v>8.4809999999999871E-8</v>
      </c>
      <c r="E77" s="5">
        <f t="shared" si="1"/>
        <v>4.5832342577981383E-2</v>
      </c>
    </row>
    <row r="78" spans="1:5" x14ac:dyDescent="0.25">
      <c r="B78" s="3">
        <v>63155</v>
      </c>
      <c r="C78" s="4">
        <v>5.5730899999999998E-7</v>
      </c>
      <c r="D78">
        <f>'AZ6 RZ1'!C78-'AZ5 RZ1'!C78</f>
        <v>1.8811000000000022E-8</v>
      </c>
      <c r="E78" s="5">
        <f t="shared" si="1"/>
        <v>3.3753267935741252E-2</v>
      </c>
    </row>
    <row r="79" spans="1:5" x14ac:dyDescent="0.25">
      <c r="A79" t="s">
        <v>7</v>
      </c>
      <c r="B79" s="3">
        <v>64157</v>
      </c>
      <c r="C79" s="4">
        <v>1.7036000000000001E-8</v>
      </c>
      <c r="D79">
        <f>'AZ6 RZ1'!C79-'AZ5 RZ1'!C79</f>
        <v>5.7269999999999824E-10</v>
      </c>
      <c r="E79" s="5">
        <f t="shared" si="1"/>
        <v>3.3617046254989326E-2</v>
      </c>
    </row>
    <row r="80" spans="1:5" x14ac:dyDescent="0.25">
      <c r="B80" s="3">
        <v>92235</v>
      </c>
      <c r="C80" s="4">
        <v>2.2874200000000001E-3</v>
      </c>
      <c r="D80" s="6">
        <f>'AZ6 RZ1'!C80-'AZ5 RZ1'!C80</f>
        <v>-5.1910000000000064E-5</v>
      </c>
      <c r="E80" s="5">
        <f>D80/C80</f>
        <v>-2.2693689833961434E-2</v>
      </c>
    </row>
    <row r="81" spans="1:5" x14ac:dyDescent="0.25">
      <c r="B81" s="3">
        <v>92236</v>
      </c>
      <c r="C81" s="4">
        <v>4.2485999999999999E-4</v>
      </c>
      <c r="D81" s="6">
        <f>'AZ6 RZ1'!C81-'AZ5 RZ1'!C81</f>
        <v>8.723999999999993E-6</v>
      </c>
      <c r="E81" s="5">
        <f t="shared" ref="E81:E92" si="2">D81/C81</f>
        <v>2.053382290636914E-2</v>
      </c>
    </row>
    <row r="82" spans="1:5" x14ac:dyDescent="0.25">
      <c r="B82" s="3">
        <v>92237</v>
      </c>
      <c r="C82" s="4">
        <v>2.9121999999999998E-6</v>
      </c>
      <c r="D82" s="6">
        <f>'AZ6 RZ1'!C82-'AZ5 RZ1'!C82</f>
        <v>-6.5729999999999623E-8</v>
      </c>
      <c r="E82" s="5">
        <f t="shared" si="2"/>
        <v>-2.2570565208433358E-2</v>
      </c>
    </row>
    <row r="83" spans="1:5" x14ac:dyDescent="0.25">
      <c r="A83" t="s">
        <v>4</v>
      </c>
      <c r="B83" s="3">
        <v>92238</v>
      </c>
      <c r="C83" s="4">
        <v>1.7968000000000001E-2</v>
      </c>
      <c r="D83" s="6">
        <f>'AZ6 RZ1'!C83-'AZ5 RZ1'!C83</f>
        <v>-3.2500000000001278E-5</v>
      </c>
      <c r="E83" s="5">
        <f t="shared" si="2"/>
        <v>-1.8087711487088866E-3</v>
      </c>
    </row>
    <row r="84" spans="1:5" x14ac:dyDescent="0.25">
      <c r="B84" s="3">
        <v>93237</v>
      </c>
      <c r="C84" s="4">
        <v>2.94482E-5</v>
      </c>
      <c r="D84" s="6">
        <f>'AZ6 RZ1'!C84-'AZ5 RZ1'!C84</f>
        <v>1.3443E-6</v>
      </c>
      <c r="E84" s="5">
        <f t="shared" si="2"/>
        <v>4.5649649214553008E-2</v>
      </c>
    </row>
    <row r="85" spans="1:5" x14ac:dyDescent="0.25">
      <c r="B85" s="3">
        <v>93239</v>
      </c>
      <c r="C85" s="4">
        <v>1.87709E-5</v>
      </c>
      <c r="D85" s="6">
        <f>'AZ6 RZ1'!C85-'AZ5 RZ1'!C85</f>
        <v>-1.5814000000000015E-6</v>
      </c>
      <c r="E85" s="5">
        <f t="shared" si="2"/>
        <v>-8.4247425536335574E-2</v>
      </c>
    </row>
    <row r="86" spans="1:5" x14ac:dyDescent="0.25">
      <c r="B86" s="3">
        <v>94238</v>
      </c>
      <c r="C86" s="4">
        <v>7.8496199999999999E-6</v>
      </c>
      <c r="D86" s="6">
        <f>'AZ6 RZ1'!C86-'AZ5 RZ1'!C86</f>
        <v>4.5024999999999963E-7</v>
      </c>
      <c r="E86" s="5">
        <f t="shared" si="2"/>
        <v>5.7359464534588886E-2</v>
      </c>
    </row>
    <row r="87" spans="1:5" x14ac:dyDescent="0.25">
      <c r="B87" s="3">
        <v>94239</v>
      </c>
      <c r="C87" s="4">
        <v>2.5019799999999998E-4</v>
      </c>
      <c r="D87" s="6">
        <f>'AZ6 RZ1'!C87-'AZ5 RZ1'!C87</f>
        <v>8.3489999999999975E-6</v>
      </c>
      <c r="E87" s="5">
        <f t="shared" si="2"/>
        <v>3.3369571299530762E-2</v>
      </c>
    </row>
    <row r="88" spans="1:5" x14ac:dyDescent="0.25">
      <c r="B88" s="3">
        <v>94240</v>
      </c>
      <c r="C88" s="4">
        <v>7.7253E-5</v>
      </c>
      <c r="D88" s="6">
        <f>'AZ6 RZ1'!C88-'AZ5 RZ1'!C88</f>
        <v>1.2969999999999979E-6</v>
      </c>
      <c r="E88" s="5">
        <f t="shared" si="2"/>
        <v>1.6788992013255122E-2</v>
      </c>
    </row>
    <row r="89" spans="1:5" x14ac:dyDescent="0.25">
      <c r="B89" s="3">
        <v>94241</v>
      </c>
      <c r="C89" s="4">
        <v>7.5459700000000005E-5</v>
      </c>
      <c r="D89" s="6">
        <f>'AZ6 RZ1'!C89-'AZ5 RZ1'!C89</f>
        <v>2.5977999999999906E-6</v>
      </c>
      <c r="E89" s="5">
        <f t="shared" si="2"/>
        <v>3.4426322924686822E-2</v>
      </c>
    </row>
    <row r="90" spans="1:5" x14ac:dyDescent="0.25">
      <c r="B90" s="3">
        <v>94242</v>
      </c>
      <c r="C90" s="4">
        <v>2.74796E-5</v>
      </c>
      <c r="D90" s="6">
        <f>'AZ6 RZ1'!C90-'AZ5 RZ1'!C90</f>
        <v>1.1419E-6</v>
      </c>
      <c r="E90" s="5">
        <f t="shared" si="2"/>
        <v>4.1554462219246281E-2</v>
      </c>
    </row>
    <row r="91" spans="1:5" x14ac:dyDescent="0.25">
      <c r="B91" s="3">
        <v>95241</v>
      </c>
      <c r="C91" s="4">
        <v>6.7785299999999998E-7</v>
      </c>
      <c r="D91" s="6">
        <f>'AZ6 RZ1'!C91-'AZ5 RZ1'!C91</f>
        <v>1.9920000000000035E-8</v>
      </c>
      <c r="E91" s="5">
        <f t="shared" si="2"/>
        <v>2.9386902470004611E-2</v>
      </c>
    </row>
    <row r="92" spans="1:5" x14ac:dyDescent="0.25">
      <c r="B92" s="3">
        <v>95243</v>
      </c>
      <c r="C92" s="4">
        <v>5.2029800000000003E-6</v>
      </c>
      <c r="D92" s="6">
        <f>'AZ6 RZ1'!C92-'AZ5 RZ1'!C92</f>
        <v>3.3664999999999956E-7</v>
      </c>
      <c r="E92" s="5">
        <f t="shared" si="2"/>
        <v>6.4703304644645868E-2</v>
      </c>
    </row>
    <row r="93" spans="1:5" x14ac:dyDescent="0.25">
      <c r="D93" s="7" t="s">
        <v>8</v>
      </c>
      <c r="E93" s="8">
        <f>AVERAGE(E4:E92)</f>
        <v>1.8843894052572963E-2</v>
      </c>
    </row>
    <row r="94" spans="1:5" x14ac:dyDescent="0.25">
      <c r="D94" s="7" t="s">
        <v>9</v>
      </c>
      <c r="E94" s="9">
        <f>STDEVA(E4:E92)</f>
        <v>2.5236798839836014E-2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94"/>
  <sheetViews>
    <sheetView topLeftCell="A64" workbookViewId="0">
      <selection activeCell="E94" sqref="E94"/>
    </sheetView>
  </sheetViews>
  <sheetFormatPr baseColWidth="10" defaultColWidth="8.85546875" defaultRowHeight="15" x14ac:dyDescent="0.25"/>
  <cols>
    <col min="2" max="2" width="15" bestFit="1" customWidth="1"/>
    <col min="3" max="3" width="26.85546875" bestFit="1" customWidth="1"/>
    <col min="5" max="5" width="9.5703125" bestFit="1" customWidth="1"/>
  </cols>
  <sheetData>
    <row r="3" spans="2:5" x14ac:dyDescent="0.25">
      <c r="B3" s="1" t="s">
        <v>0</v>
      </c>
      <c r="C3" s="1" t="s">
        <v>1</v>
      </c>
      <c r="D3" t="s">
        <v>5</v>
      </c>
      <c r="E3" t="s">
        <v>6</v>
      </c>
    </row>
    <row r="4" spans="2:5" x14ac:dyDescent="0.25">
      <c r="B4" s="7">
        <v>6012</v>
      </c>
      <c r="C4" s="7">
        <v>1.18212E-2</v>
      </c>
      <c r="D4">
        <f>'AZ6 RZ1'!C4-'AZ1 RZ1'!C4</f>
        <v>-1.0000000000114084E-7</v>
      </c>
      <c r="E4" s="5">
        <f>D4/C4</f>
        <v>-8.4593780666210578E-6</v>
      </c>
    </row>
    <row r="5" spans="2:5" x14ac:dyDescent="0.25">
      <c r="B5" s="7">
        <v>8016</v>
      </c>
      <c r="C5" s="7">
        <v>3.5463399999999999E-2</v>
      </c>
      <c r="D5">
        <f>'AZ6 RZ1'!C5-'AZ1 RZ1'!C5</f>
        <v>0</v>
      </c>
      <c r="E5" s="5">
        <f t="shared" ref="E5:E68" si="0">D5/C5</f>
        <v>0</v>
      </c>
    </row>
    <row r="6" spans="2:5" x14ac:dyDescent="0.25">
      <c r="B6" s="7">
        <v>36083</v>
      </c>
      <c r="C6" s="7">
        <v>8.8895199999999999E-6</v>
      </c>
      <c r="D6">
        <f>'AZ6 RZ1'!C6-'AZ1 RZ1'!C6</f>
        <v>1.1945800000000007E-6</v>
      </c>
      <c r="E6" s="5">
        <f t="shared" si="0"/>
        <v>0.13438070896966323</v>
      </c>
    </row>
    <row r="7" spans="2:5" x14ac:dyDescent="0.25">
      <c r="B7" s="7">
        <v>36084</v>
      </c>
      <c r="C7" s="7">
        <v>2.05959E-5</v>
      </c>
      <c r="D7">
        <f>'AZ6 RZ1'!C7-'AZ1 RZ1'!C7</f>
        <v>3.3040000000000009E-6</v>
      </c>
      <c r="E7" s="5">
        <f t="shared" si="0"/>
        <v>0.16042027782228505</v>
      </c>
    </row>
    <row r="8" spans="2:5" x14ac:dyDescent="0.25">
      <c r="B8" s="7">
        <v>36086</v>
      </c>
      <c r="C8" s="7">
        <v>3.5159300000000001E-5</v>
      </c>
      <c r="D8">
        <f>'AZ6 RZ1'!C8-'AZ1 RZ1'!C8</f>
        <v>5.3078999999999971E-6</v>
      </c>
      <c r="E8" s="5">
        <f t="shared" si="0"/>
        <v>0.15096716942601238</v>
      </c>
    </row>
    <row r="9" spans="2:5" x14ac:dyDescent="0.25">
      <c r="B9" s="7">
        <v>37085</v>
      </c>
      <c r="C9" s="7">
        <v>2.0151100000000001E-5</v>
      </c>
      <c r="D9">
        <f>'AZ6 RZ1'!C9-'AZ1 RZ1'!C9</f>
        <v>3.0475999999999977E-6</v>
      </c>
      <c r="E9" s="5">
        <f t="shared" si="0"/>
        <v>0.15123740143217976</v>
      </c>
    </row>
    <row r="10" spans="2:5" x14ac:dyDescent="0.25">
      <c r="B10" s="7">
        <v>37087</v>
      </c>
      <c r="C10" s="7">
        <v>4.8936700000000002E-5</v>
      </c>
      <c r="D10">
        <f>'AZ6 RZ1'!C10-'AZ1 RZ1'!C10</f>
        <v>7.3620999999999951E-6</v>
      </c>
      <c r="E10" s="5">
        <f t="shared" si="0"/>
        <v>0.1504412843530519</v>
      </c>
    </row>
    <row r="11" spans="2:5" x14ac:dyDescent="0.25">
      <c r="B11" s="7">
        <v>38088</v>
      </c>
      <c r="C11" s="7">
        <v>6.6576599999999995E-5</v>
      </c>
      <c r="D11">
        <f>'AZ6 RZ1'!C11-'AZ1 RZ1'!C11</f>
        <v>1.0034700000000001E-5</v>
      </c>
      <c r="E11" s="5">
        <f t="shared" si="0"/>
        <v>0.1507241282973297</v>
      </c>
    </row>
    <row r="12" spans="2:5" x14ac:dyDescent="0.25">
      <c r="B12" s="7">
        <v>38089</v>
      </c>
      <c r="C12" s="7">
        <v>1.9692799999999999E-5</v>
      </c>
      <c r="D12">
        <f>'AZ6 RZ1'!C12-'AZ1 RZ1'!C12</f>
        <v>3.6424000000000009E-6</v>
      </c>
      <c r="E12" s="5">
        <f t="shared" si="0"/>
        <v>0.18496100097497567</v>
      </c>
    </row>
    <row r="13" spans="2:5" x14ac:dyDescent="0.25">
      <c r="B13" s="7">
        <v>38090</v>
      </c>
      <c r="C13" s="7">
        <v>1.07054E-4</v>
      </c>
      <c r="D13">
        <f>'AZ6 RZ1'!C13-'AZ1 RZ1'!C13</f>
        <v>1.6004000000000005E-5</v>
      </c>
      <c r="E13" s="5">
        <f t="shared" si="0"/>
        <v>0.149494647561044</v>
      </c>
    </row>
    <row r="14" spans="2:5" x14ac:dyDescent="0.25">
      <c r="B14" s="7">
        <v>39089</v>
      </c>
      <c r="C14" s="7">
        <v>6.8942600000000006E-5</v>
      </c>
      <c r="D14">
        <f>'AZ6 RZ1'!C14-'AZ1 RZ1'!C14</f>
        <v>9.6421999999999871E-6</v>
      </c>
      <c r="E14" s="5">
        <f t="shared" si="0"/>
        <v>0.13985837493799169</v>
      </c>
    </row>
    <row r="15" spans="2:5" x14ac:dyDescent="0.25">
      <c r="B15" s="7">
        <v>39091</v>
      </c>
      <c r="C15" s="7">
        <v>2.7883999999999999E-5</v>
      </c>
      <c r="D15">
        <f>'AZ6 RZ1'!C15-'AZ1 RZ1'!C15</f>
        <v>5.0503000000000014E-6</v>
      </c>
      <c r="E15" s="5">
        <f t="shared" si="0"/>
        <v>0.18111820398795014</v>
      </c>
    </row>
    <row r="16" spans="2:5" x14ac:dyDescent="0.25">
      <c r="B16" s="7">
        <v>40091</v>
      </c>
      <c r="C16" s="7">
        <v>8.2227399999999998E-5</v>
      </c>
      <c r="D16">
        <f>'AZ6 RZ1'!C16-'AZ1 RZ1'!C16</f>
        <v>1.1696400000000005E-5</v>
      </c>
      <c r="E16" s="5">
        <f t="shared" si="0"/>
        <v>0.14224455595093613</v>
      </c>
    </row>
    <row r="17" spans="2:5" x14ac:dyDescent="0.25">
      <c r="B17" s="7">
        <v>40092</v>
      </c>
      <c r="C17" s="7">
        <v>1.16587E-4</v>
      </c>
      <c r="D17">
        <f>'AZ6 RZ1'!C17-'AZ1 RZ1'!C17</f>
        <v>1.7888999999999991E-5</v>
      </c>
      <c r="E17" s="5">
        <f t="shared" si="0"/>
        <v>0.15343906267422602</v>
      </c>
    </row>
    <row r="18" spans="2:5" x14ac:dyDescent="0.25">
      <c r="B18" s="7">
        <v>40093</v>
      </c>
      <c r="C18" s="7">
        <v>1.2433E-4</v>
      </c>
      <c r="D18">
        <f>'AZ6 RZ1'!C18-'AZ1 RZ1'!C18</f>
        <v>1.9195999999999997E-5</v>
      </c>
      <c r="E18" s="5">
        <f t="shared" si="0"/>
        <v>0.15439556020268638</v>
      </c>
    </row>
    <row r="19" spans="2:5" x14ac:dyDescent="0.25">
      <c r="B19" s="7">
        <v>40094</v>
      </c>
      <c r="C19" s="7">
        <v>1.30982E-4</v>
      </c>
      <c r="D19">
        <f>'AZ6 RZ1'!C19-'AZ1 RZ1'!C19</f>
        <v>2.0443000000000007E-5</v>
      </c>
      <c r="E19" s="5">
        <f t="shared" si="0"/>
        <v>0.15607488051793381</v>
      </c>
    </row>
    <row r="20" spans="2:5" x14ac:dyDescent="0.25">
      <c r="B20" s="7">
        <v>40095</v>
      </c>
      <c r="C20" s="7">
        <v>3.6944199999999998E-5</v>
      </c>
      <c r="D20">
        <f>'AZ6 RZ1'!C20-'AZ1 RZ1'!C20</f>
        <v>6.5612000000000008E-6</v>
      </c>
      <c r="E20" s="5">
        <f t="shared" si="0"/>
        <v>0.17759756605908372</v>
      </c>
    </row>
    <row r="21" spans="2:5" x14ac:dyDescent="0.25">
      <c r="B21" s="7">
        <v>40096</v>
      </c>
      <c r="C21" s="7">
        <v>1.3072E-4</v>
      </c>
      <c r="D21">
        <f>'AZ6 RZ1'!C21-'AZ1 RZ1'!C21</f>
        <v>2.0515999999999991E-5</v>
      </c>
      <c r="E21" s="5">
        <f t="shared" si="0"/>
        <v>0.15694614443084448</v>
      </c>
    </row>
    <row r="22" spans="2:5" x14ac:dyDescent="0.25">
      <c r="B22" s="7">
        <v>41095</v>
      </c>
      <c r="C22" s="7">
        <v>1.83244E-5</v>
      </c>
      <c r="D22">
        <f>'AZ6 RZ1'!C22-'AZ1 RZ1'!C22</f>
        <v>1.8924999999999992E-6</v>
      </c>
      <c r="E22" s="5">
        <f t="shared" si="0"/>
        <v>0.10327759708366982</v>
      </c>
    </row>
    <row r="23" spans="2:5" x14ac:dyDescent="0.25">
      <c r="B23" s="7">
        <v>42095</v>
      </c>
      <c r="C23" s="7">
        <v>7.4400599999999994E-5</v>
      </c>
      <c r="D23">
        <f>'AZ6 RZ1'!C23-'AZ1 RZ1'!C23</f>
        <v>1.1198200000000011E-5</v>
      </c>
      <c r="E23" s="5">
        <f t="shared" si="0"/>
        <v>0.15051222705193254</v>
      </c>
    </row>
    <row r="24" spans="2:5" x14ac:dyDescent="0.25">
      <c r="B24" s="7">
        <v>42097</v>
      </c>
      <c r="C24" s="7">
        <v>9.3600100000000005E-5</v>
      </c>
      <c r="D24">
        <f>'AZ6 RZ1'!C24-'AZ1 RZ1'!C24</f>
        <v>1.5012899999999993E-5</v>
      </c>
      <c r="E24" s="5">
        <f t="shared" si="0"/>
        <v>0.16039405940805609</v>
      </c>
    </row>
    <row r="25" spans="2:5" x14ac:dyDescent="0.25">
      <c r="B25" s="7">
        <v>42098</v>
      </c>
      <c r="C25" s="7">
        <v>1.2524899999999999E-4</v>
      </c>
      <c r="D25">
        <f>'AZ6 RZ1'!C25-'AZ1 RZ1'!C25</f>
        <v>2.0137000000000014E-5</v>
      </c>
      <c r="E25" s="5">
        <f t="shared" si="0"/>
        <v>0.16077573473640519</v>
      </c>
    </row>
    <row r="26" spans="2:5" x14ac:dyDescent="0.25">
      <c r="B26" s="7">
        <v>42100</v>
      </c>
      <c r="C26" s="7">
        <v>1.38601E-4</v>
      </c>
      <c r="D26">
        <f>'AZ6 RZ1'!C26-'AZ1 RZ1'!C26</f>
        <v>2.2368000000000014E-5</v>
      </c>
      <c r="E26" s="5">
        <f t="shared" si="0"/>
        <v>0.16138411699771296</v>
      </c>
    </row>
    <row r="27" spans="2:5" x14ac:dyDescent="0.25">
      <c r="B27" s="7">
        <v>43099</v>
      </c>
      <c r="C27" s="7">
        <v>1.1781300000000001E-4</v>
      </c>
      <c r="D27">
        <f>'AZ6 RZ1'!C27-'AZ1 RZ1'!C27</f>
        <v>1.7924999999999988E-5</v>
      </c>
      <c r="E27" s="5">
        <f t="shared" si="0"/>
        <v>0.15214789539354728</v>
      </c>
    </row>
    <row r="28" spans="2:5" x14ac:dyDescent="0.25">
      <c r="B28" s="7">
        <v>44100</v>
      </c>
      <c r="C28" s="7">
        <v>1.2591200000000001E-5</v>
      </c>
      <c r="D28">
        <f>'AZ6 RZ1'!C28-'AZ1 RZ1'!C28</f>
        <v>3.7494E-6</v>
      </c>
      <c r="E28" s="5">
        <f t="shared" si="0"/>
        <v>0.29777940148675264</v>
      </c>
    </row>
    <row r="29" spans="2:5" x14ac:dyDescent="0.25">
      <c r="B29" s="7">
        <v>44101</v>
      </c>
      <c r="C29" s="7">
        <v>1.1262800000000001E-4</v>
      </c>
      <c r="D29">
        <f>'AZ6 RZ1'!C29-'AZ1 RZ1'!C29</f>
        <v>1.7819999999999989E-5</v>
      </c>
      <c r="E29" s="5">
        <f t="shared" si="0"/>
        <v>0.1582199808218204</v>
      </c>
    </row>
    <row r="30" spans="2:5" x14ac:dyDescent="0.25">
      <c r="B30" s="7">
        <v>44102</v>
      </c>
      <c r="C30" s="7">
        <v>1.0621299999999999E-4</v>
      </c>
      <c r="D30">
        <f>'AZ6 RZ1'!C30-'AZ1 RZ1'!C30</f>
        <v>1.8310999999999995E-5</v>
      </c>
      <c r="E30" s="5">
        <f t="shared" si="0"/>
        <v>0.17239885889674517</v>
      </c>
    </row>
    <row r="31" spans="2:5" x14ac:dyDescent="0.25">
      <c r="B31" s="7">
        <v>44103</v>
      </c>
      <c r="C31" s="7">
        <v>1.6437099999999999E-5</v>
      </c>
      <c r="D31">
        <f>'AZ6 RZ1'!C31-'AZ1 RZ1'!C31</f>
        <v>4.0433000000000024E-6</v>
      </c>
      <c r="E31" s="5">
        <f t="shared" si="0"/>
        <v>0.24598621411319532</v>
      </c>
    </row>
    <row r="32" spans="2:5" x14ac:dyDescent="0.25">
      <c r="B32" s="7">
        <v>44104</v>
      </c>
      <c r="C32" s="7">
        <v>6.1478500000000004E-5</v>
      </c>
      <c r="D32">
        <f>'AZ6 RZ1'!C32-'AZ1 RZ1'!C32</f>
        <v>1.1312299999999997E-5</v>
      </c>
      <c r="E32" s="5">
        <f t="shared" si="0"/>
        <v>0.18400416405735331</v>
      </c>
    </row>
    <row r="33" spans="2:5" x14ac:dyDescent="0.25">
      <c r="B33" s="7">
        <v>44106</v>
      </c>
      <c r="C33" s="7">
        <v>2.1778699999999999E-5</v>
      </c>
      <c r="D33">
        <f>'AZ6 RZ1'!C33-'AZ1 RZ1'!C33</f>
        <v>4.494300000000002E-6</v>
      </c>
      <c r="E33" s="5">
        <f t="shared" si="0"/>
        <v>0.20636217956076361</v>
      </c>
    </row>
    <row r="34" spans="2:5" x14ac:dyDescent="0.25">
      <c r="B34" s="7">
        <v>45103</v>
      </c>
      <c r="C34" s="7">
        <v>4.9821499999999997E-5</v>
      </c>
      <c r="D34">
        <f>'AZ6 RZ1'!C34-'AZ1 RZ1'!C34</f>
        <v>5.1440000000000036E-6</v>
      </c>
      <c r="E34" s="5">
        <f t="shared" si="0"/>
        <v>0.10324859749305026</v>
      </c>
    </row>
    <row r="35" spans="2:5" x14ac:dyDescent="0.25">
      <c r="B35" s="7">
        <v>45105</v>
      </c>
      <c r="C35" s="7">
        <v>4.5457900000000001E-7</v>
      </c>
      <c r="D35">
        <f>'AZ6 RZ1'!C35-'AZ1 RZ1'!C35</f>
        <v>-2.3611000000000012E-8</v>
      </c>
      <c r="E35" s="5">
        <f t="shared" si="0"/>
        <v>-5.1940366800930116E-2</v>
      </c>
    </row>
    <row r="36" spans="2:5" x14ac:dyDescent="0.25">
      <c r="B36" s="7">
        <v>46105</v>
      </c>
      <c r="C36" s="7">
        <v>3.4826700000000003E-5</v>
      </c>
      <c r="D36">
        <f>'AZ6 RZ1'!C36-'AZ1 RZ1'!C36</f>
        <v>6.4264999999999968E-6</v>
      </c>
      <c r="E36" s="5">
        <f t="shared" si="0"/>
        <v>0.18452796274123004</v>
      </c>
    </row>
    <row r="37" spans="2:5" x14ac:dyDescent="0.25">
      <c r="B37" s="7">
        <v>46106</v>
      </c>
      <c r="C37" s="7">
        <v>1.4285599999999999E-5</v>
      </c>
      <c r="D37">
        <f>'AZ6 RZ1'!C37-'AZ1 RZ1'!C37</f>
        <v>3.4777000000000006E-6</v>
      </c>
      <c r="E37" s="5">
        <f t="shared" si="0"/>
        <v>0.24344094752758028</v>
      </c>
    </row>
    <row r="38" spans="2:5" x14ac:dyDescent="0.25">
      <c r="B38" s="7">
        <v>46107</v>
      </c>
      <c r="C38" s="7">
        <v>1.8417899999999999E-5</v>
      </c>
      <c r="D38">
        <f>'AZ6 RZ1'!C38-'AZ1 RZ1'!C38</f>
        <v>3.9760000000000006E-6</v>
      </c>
      <c r="E38" s="5">
        <f t="shared" si="0"/>
        <v>0.21587694579729508</v>
      </c>
    </row>
    <row r="39" spans="2:5" x14ac:dyDescent="0.25">
      <c r="B39" s="7">
        <v>46108</v>
      </c>
      <c r="C39" s="7">
        <v>1.1876600000000001E-5</v>
      </c>
      <c r="D39">
        <f>'AZ6 RZ1'!C39-'AZ1 RZ1'!C39</f>
        <v>2.6673999999999992E-6</v>
      </c>
      <c r="E39" s="5">
        <f t="shared" si="0"/>
        <v>0.22459289695704149</v>
      </c>
    </row>
    <row r="40" spans="2:5" x14ac:dyDescent="0.25">
      <c r="B40" s="7">
        <v>47109</v>
      </c>
      <c r="C40" s="7">
        <v>6.5278399999999998E-6</v>
      </c>
      <c r="D40">
        <f>'AZ6 RZ1'!C40-'AZ1 RZ1'!C40</f>
        <v>1.3113300000000009E-6</v>
      </c>
      <c r="E40" s="5">
        <f t="shared" si="0"/>
        <v>0.20088268094806258</v>
      </c>
    </row>
    <row r="41" spans="2:5" x14ac:dyDescent="0.25">
      <c r="B41" s="7">
        <v>52130</v>
      </c>
      <c r="C41" s="7">
        <v>4.1276100000000003E-5</v>
      </c>
      <c r="D41">
        <f>'AZ6 RZ1'!C41-'AZ1 RZ1'!C41</f>
        <v>6.7518999999999988E-6</v>
      </c>
      <c r="E41" s="5">
        <f t="shared" si="0"/>
        <v>0.16357892339634797</v>
      </c>
    </row>
    <row r="42" spans="2:5" x14ac:dyDescent="0.25">
      <c r="B42" s="7">
        <v>53129</v>
      </c>
      <c r="C42" s="7">
        <v>1.4872600000000001E-5</v>
      </c>
      <c r="D42">
        <f>'AZ6 RZ1'!C42-'AZ1 RZ1'!C42</f>
        <v>2.5469999999999978E-6</v>
      </c>
      <c r="E42" s="5">
        <f t="shared" si="0"/>
        <v>0.17125452173796094</v>
      </c>
    </row>
    <row r="43" spans="2:5" x14ac:dyDescent="0.25">
      <c r="B43" s="7">
        <v>54131</v>
      </c>
      <c r="C43" s="7">
        <v>4.82098E-5</v>
      </c>
      <c r="D43">
        <f>'AZ6 RZ1'!C43-'AZ1 RZ1'!C43</f>
        <v>5.7463999999999963E-6</v>
      </c>
      <c r="E43" s="5">
        <f t="shared" si="0"/>
        <v>0.11919568220569254</v>
      </c>
    </row>
    <row r="44" spans="2:5" x14ac:dyDescent="0.25">
      <c r="B44" s="7">
        <v>54132</v>
      </c>
      <c r="C44" s="7">
        <v>1.11099E-4</v>
      </c>
      <c r="D44">
        <f>'AZ6 RZ1'!C44-'AZ1 RZ1'!C44</f>
        <v>2.0450000000000009E-5</v>
      </c>
      <c r="E44" s="5">
        <f t="shared" si="0"/>
        <v>0.18407006363693651</v>
      </c>
    </row>
    <row r="45" spans="2:5" x14ac:dyDescent="0.25">
      <c r="B45" s="7">
        <v>54133</v>
      </c>
      <c r="C45" s="7">
        <v>4.2879000000000001E-6</v>
      </c>
      <c r="D45">
        <f>'AZ6 RZ1'!C45-'AZ1 RZ1'!C45</f>
        <v>9.1204000000000017E-7</v>
      </c>
      <c r="E45" s="5">
        <f t="shared" si="0"/>
        <v>0.212700855896826</v>
      </c>
    </row>
    <row r="46" spans="2:5" x14ac:dyDescent="0.25">
      <c r="B46" s="7">
        <v>54134</v>
      </c>
      <c r="C46" s="7">
        <v>1.71268E-4</v>
      </c>
      <c r="D46">
        <f>'AZ6 RZ1'!C46-'AZ1 RZ1'!C46</f>
        <v>2.7589999999999998E-5</v>
      </c>
      <c r="E46" s="5">
        <f t="shared" si="0"/>
        <v>0.16109255669477077</v>
      </c>
    </row>
    <row r="47" spans="2:5" x14ac:dyDescent="0.25">
      <c r="B47" s="7">
        <v>54135</v>
      </c>
      <c r="C47" s="7">
        <v>5.0286599999999997E-8</v>
      </c>
      <c r="D47">
        <f>'AZ6 RZ1'!C47-'AZ1 RZ1'!C47</f>
        <v>2.6396000000000007E-9</v>
      </c>
      <c r="E47" s="5">
        <f t="shared" si="0"/>
        <v>5.2491120895029705E-2</v>
      </c>
    </row>
    <row r="48" spans="2:5" x14ac:dyDescent="0.25">
      <c r="B48" s="7">
        <v>54136</v>
      </c>
      <c r="C48" s="7">
        <v>2.6420000000000003E-4</v>
      </c>
      <c r="D48">
        <f>'AZ6 RZ1'!C48-'AZ1 RZ1'!C48</f>
        <v>4.3636999999999962E-5</v>
      </c>
      <c r="E48" s="5">
        <f t="shared" si="0"/>
        <v>0.16516654049962134</v>
      </c>
    </row>
    <row r="49" spans="2:5" x14ac:dyDescent="0.25">
      <c r="B49" s="7">
        <v>55133</v>
      </c>
      <c r="C49" s="7">
        <v>1.2474799999999999E-4</v>
      </c>
      <c r="D49">
        <f>'AZ6 RZ1'!C49-'AZ1 RZ1'!C49</f>
        <v>1.8045000000000008E-5</v>
      </c>
      <c r="E49" s="5">
        <f t="shared" si="0"/>
        <v>0.14465161766120507</v>
      </c>
    </row>
    <row r="50" spans="2:5" x14ac:dyDescent="0.25">
      <c r="B50" s="7">
        <v>55134</v>
      </c>
      <c r="C50" s="7">
        <v>1.3322800000000001E-5</v>
      </c>
      <c r="D50">
        <f>'AZ6 RZ1'!C50-'AZ1 RZ1'!C50</f>
        <v>3.9457999999999987E-6</v>
      </c>
      <c r="E50" s="5">
        <f t="shared" si="0"/>
        <v>0.29616897348905624</v>
      </c>
    </row>
    <row r="51" spans="2:5" x14ac:dyDescent="0.25">
      <c r="B51" s="7">
        <v>55135</v>
      </c>
      <c r="C51" s="7">
        <v>2.3927899999999998E-5</v>
      </c>
      <c r="D51">
        <f>'AZ6 RZ1'!C51-'AZ1 RZ1'!C51</f>
        <v>3.540900000000002E-6</v>
      </c>
      <c r="E51" s="5">
        <f t="shared" si="0"/>
        <v>0.14798206278026915</v>
      </c>
    </row>
    <row r="52" spans="2:5" x14ac:dyDescent="0.25">
      <c r="B52" s="7">
        <v>55137</v>
      </c>
      <c r="C52" s="7">
        <v>1.3505400000000001E-4</v>
      </c>
      <c r="D52">
        <f>'AZ6 RZ1'!C52-'AZ1 RZ1'!C52</f>
        <v>2.1810999999999998E-5</v>
      </c>
      <c r="E52" s="5">
        <f t="shared" si="0"/>
        <v>0.16149836361751593</v>
      </c>
    </row>
    <row r="53" spans="2:5" x14ac:dyDescent="0.25">
      <c r="B53" s="7">
        <v>56138</v>
      </c>
      <c r="C53" s="7">
        <v>1.44499E-4</v>
      </c>
      <c r="D53">
        <f>'AZ6 RZ1'!C53-'AZ1 RZ1'!C53</f>
        <v>2.3118000000000005E-5</v>
      </c>
      <c r="E53" s="5">
        <f t="shared" si="0"/>
        <v>0.15998726634786403</v>
      </c>
    </row>
    <row r="54" spans="2:5" x14ac:dyDescent="0.25">
      <c r="B54" s="7">
        <v>56140</v>
      </c>
      <c r="C54" s="7">
        <v>8.4631300000000007E-6</v>
      </c>
      <c r="D54">
        <f>'AZ6 RZ1'!C54-'AZ1 RZ1'!C54</f>
        <v>2.5553699999999989E-6</v>
      </c>
      <c r="E54" s="5">
        <f t="shared" si="0"/>
        <v>0.30194148027975448</v>
      </c>
    </row>
    <row r="55" spans="2:5" x14ac:dyDescent="0.25">
      <c r="B55" s="7">
        <v>57139</v>
      </c>
      <c r="C55" s="7">
        <v>1.3494099999999999E-4</v>
      </c>
      <c r="D55">
        <f>'AZ6 RZ1'!C55-'AZ1 RZ1'!C55</f>
        <v>2.1424000000000004E-5</v>
      </c>
      <c r="E55" s="5">
        <f t="shared" si="0"/>
        <v>0.15876568277988162</v>
      </c>
    </row>
    <row r="56" spans="2:5" x14ac:dyDescent="0.25">
      <c r="B56" s="7">
        <v>58140</v>
      </c>
      <c r="C56" s="7">
        <v>1.23187E-4</v>
      </c>
      <c r="D56">
        <f>'AZ6 RZ1'!C56-'AZ1 RZ1'!C56</f>
        <v>1.827799999999999E-5</v>
      </c>
      <c r="E56" s="5">
        <f t="shared" si="0"/>
        <v>0.14837604617370331</v>
      </c>
    </row>
    <row r="57" spans="2:5" x14ac:dyDescent="0.25">
      <c r="B57" s="7">
        <v>58141</v>
      </c>
      <c r="C57" s="7">
        <v>1.8797800000000002E-5</v>
      </c>
      <c r="D57">
        <f>'AZ6 RZ1'!C57-'AZ1 RZ1'!C57</f>
        <v>4.5617999999999976E-6</v>
      </c>
      <c r="E57" s="5">
        <f t="shared" si="0"/>
        <v>0.24267733458170623</v>
      </c>
    </row>
    <row r="58" spans="2:5" x14ac:dyDescent="0.25">
      <c r="B58" s="7">
        <v>58142</v>
      </c>
      <c r="C58" s="7">
        <v>1.24418E-4</v>
      </c>
      <c r="D58">
        <f>'AZ6 RZ1'!C58-'AZ1 RZ1'!C58</f>
        <v>1.9830999999999994E-5</v>
      </c>
      <c r="E58" s="5">
        <f t="shared" si="0"/>
        <v>0.15939012040058506</v>
      </c>
    </row>
    <row r="59" spans="2:5" x14ac:dyDescent="0.25">
      <c r="B59" s="7">
        <v>58144</v>
      </c>
      <c r="C59" s="7">
        <v>7.5522499999999994E-5</v>
      </c>
      <c r="D59">
        <f>'AZ6 RZ1'!C59-'AZ1 RZ1'!C59</f>
        <v>1.1105400000000011E-5</v>
      </c>
      <c r="E59" s="5">
        <f t="shared" si="0"/>
        <v>0.14704756860538265</v>
      </c>
    </row>
    <row r="60" spans="2:5" x14ac:dyDescent="0.25">
      <c r="B60" s="7">
        <v>59141</v>
      </c>
      <c r="C60" s="7">
        <v>1.022E-4</v>
      </c>
      <c r="D60">
        <f>'AZ6 RZ1'!C60-'AZ1 RZ1'!C60</f>
        <v>1.4497999999999996E-5</v>
      </c>
      <c r="E60" s="5">
        <f t="shared" si="0"/>
        <v>0.14185909980430525</v>
      </c>
    </row>
    <row r="61" spans="2:5" x14ac:dyDescent="0.25">
      <c r="B61" s="7">
        <v>59143</v>
      </c>
      <c r="C61" s="7">
        <v>7.6774899999999999E-6</v>
      </c>
      <c r="D61">
        <f>'AZ6 RZ1'!C61-'AZ1 RZ1'!C61</f>
        <v>2.9895099999999998E-6</v>
      </c>
      <c r="E61" s="5">
        <f t="shared" si="0"/>
        <v>0.3893863749741126</v>
      </c>
    </row>
    <row r="62" spans="2:5" x14ac:dyDescent="0.25">
      <c r="B62" s="7">
        <v>60143</v>
      </c>
      <c r="C62" s="7">
        <v>9.0214899999999996E-5</v>
      </c>
      <c r="D62">
        <f>'AZ6 RZ1'!C62-'AZ1 RZ1'!C62</f>
        <v>1.0749100000000009E-5</v>
      </c>
      <c r="E62" s="5">
        <f t="shared" si="0"/>
        <v>0.11914994086342731</v>
      </c>
    </row>
    <row r="63" spans="2:5" x14ac:dyDescent="0.25">
      <c r="B63" s="7">
        <v>60144</v>
      </c>
      <c r="C63" s="7">
        <v>5.9299899999999998E-5</v>
      </c>
      <c r="D63">
        <f>'AZ6 RZ1'!C63-'AZ1 RZ1'!C63</f>
        <v>1.2098800000000007E-5</v>
      </c>
      <c r="E63" s="5">
        <f t="shared" si="0"/>
        <v>0.20402732550982391</v>
      </c>
    </row>
    <row r="64" spans="2:5" x14ac:dyDescent="0.25">
      <c r="B64" s="7">
        <v>60145</v>
      </c>
      <c r="C64" s="7">
        <v>7.3967799999999993E-5</v>
      </c>
      <c r="D64">
        <f>'AZ6 RZ1'!C64-'AZ1 RZ1'!C64</f>
        <v>1.0819600000000007E-5</v>
      </c>
      <c r="E64" s="5">
        <f t="shared" si="0"/>
        <v>0.14627445996771579</v>
      </c>
    </row>
    <row r="65" spans="1:5" x14ac:dyDescent="0.25">
      <c r="B65" s="7">
        <v>60146</v>
      </c>
      <c r="C65" s="7">
        <v>7.0241700000000002E-5</v>
      </c>
      <c r="D65">
        <f>'AZ6 RZ1'!C65-'AZ1 RZ1'!C65</f>
        <v>1.2092799999999994E-5</v>
      </c>
      <c r="E65" s="5">
        <f t="shared" si="0"/>
        <v>0.17215984237283541</v>
      </c>
    </row>
    <row r="66" spans="1:5" x14ac:dyDescent="0.25">
      <c r="B66" s="7">
        <v>60147</v>
      </c>
      <c r="C66" s="7">
        <v>2.6337400000000001E-6</v>
      </c>
      <c r="D66">
        <f>'AZ6 RZ1'!C66-'AZ1 RZ1'!C66</f>
        <v>7.3196999999999996E-7</v>
      </c>
      <c r="E66" s="5">
        <f t="shared" si="0"/>
        <v>0.27792037179068546</v>
      </c>
    </row>
    <row r="67" spans="1:5" x14ac:dyDescent="0.25">
      <c r="B67" s="7">
        <v>60148</v>
      </c>
      <c r="C67" s="7">
        <v>3.7926899999999998E-5</v>
      </c>
      <c r="D67">
        <f>'AZ6 RZ1'!C67-'AZ1 RZ1'!C67</f>
        <v>6.160000000000002E-6</v>
      </c>
      <c r="E67" s="5">
        <f t="shared" si="0"/>
        <v>0.16241770352968479</v>
      </c>
    </row>
    <row r="68" spans="1:5" x14ac:dyDescent="0.25">
      <c r="B68" s="7">
        <v>60150</v>
      </c>
      <c r="C68" s="7">
        <v>1.5742900000000001E-5</v>
      </c>
      <c r="D68">
        <f>'AZ6 RZ1'!C68-'AZ1 RZ1'!C68</f>
        <v>2.6394999999999973E-6</v>
      </c>
      <c r="E68" s="5">
        <f t="shared" si="0"/>
        <v>0.16766288295040921</v>
      </c>
    </row>
    <row r="69" spans="1:5" x14ac:dyDescent="0.25">
      <c r="B69" s="7">
        <v>61147</v>
      </c>
      <c r="C69" s="7">
        <v>2.3599800000000001E-5</v>
      </c>
      <c r="D69">
        <f>'AZ6 RZ1'!C69-'AZ1 RZ1'!C69</f>
        <v>1.7496999999999978E-6</v>
      </c>
      <c r="E69" s="5">
        <f t="shared" ref="E69:E92" si="1">D69/C69</f>
        <v>7.4140458817447505E-2</v>
      </c>
    </row>
    <row r="70" spans="1:5" x14ac:dyDescent="0.25">
      <c r="B70" s="7">
        <v>61149</v>
      </c>
      <c r="C70" s="7">
        <v>3.9414899999999999E-7</v>
      </c>
      <c r="D70">
        <f>'AZ6 RZ1'!C70-'AZ1 RZ1'!C70</f>
        <v>-4.3840999999999975E-8</v>
      </c>
      <c r="E70" s="5">
        <f t="shared" si="1"/>
        <v>-0.11122950965244102</v>
      </c>
    </row>
    <row r="71" spans="1:5" x14ac:dyDescent="0.25">
      <c r="B71" s="7">
        <v>62147</v>
      </c>
      <c r="C71" s="7">
        <v>2.7968099999999999E-6</v>
      </c>
      <c r="D71">
        <f>'AZ6 RZ1'!C71-'AZ1 RZ1'!C71</f>
        <v>3.434700000000002E-7</v>
      </c>
      <c r="E71" s="5">
        <f t="shared" si="1"/>
        <v>0.1228077702811418</v>
      </c>
    </row>
    <row r="72" spans="1:5" x14ac:dyDescent="0.25">
      <c r="B72" s="7">
        <v>62149</v>
      </c>
      <c r="C72" s="7">
        <v>2.4325600000000002E-7</v>
      </c>
      <c r="D72">
        <f>'AZ6 RZ1'!C72-'AZ1 RZ1'!C72</f>
        <v>8.1082999999999959E-8</v>
      </c>
      <c r="E72" s="5">
        <f t="shared" si="1"/>
        <v>0.33332374124379238</v>
      </c>
    </row>
    <row r="73" spans="1:5" x14ac:dyDescent="0.25">
      <c r="B73" s="7">
        <v>62150</v>
      </c>
      <c r="C73" s="7">
        <v>2.1068099999999999E-5</v>
      </c>
      <c r="D73">
        <f>'AZ6 RZ1'!C73-'AZ1 RZ1'!C73</f>
        <v>3.2150000000000023E-6</v>
      </c>
      <c r="E73" s="5">
        <f t="shared" si="1"/>
        <v>0.15260037687309261</v>
      </c>
    </row>
    <row r="74" spans="1:5" x14ac:dyDescent="0.25">
      <c r="B74" s="7">
        <v>62151</v>
      </c>
      <c r="C74" s="7">
        <v>1.5823300000000001E-6</v>
      </c>
      <c r="D74">
        <f>'AZ6 RZ1'!C74-'AZ1 RZ1'!C74</f>
        <v>2.8393999999999999E-7</v>
      </c>
      <c r="E74" s="5">
        <f t="shared" si="1"/>
        <v>0.17944423729563364</v>
      </c>
    </row>
    <row r="75" spans="1:5" x14ac:dyDescent="0.25">
      <c r="B75" s="7">
        <v>62152</v>
      </c>
      <c r="C75" s="7">
        <v>9.7091800000000004E-6</v>
      </c>
      <c r="D75">
        <f>'AZ6 RZ1'!C75-'AZ1 RZ1'!C75</f>
        <v>9.4812E-7</v>
      </c>
      <c r="E75" s="5">
        <f t="shared" si="1"/>
        <v>9.7651912931885076E-2</v>
      </c>
    </row>
    <row r="76" spans="1:5" x14ac:dyDescent="0.25">
      <c r="B76" s="7">
        <v>63153</v>
      </c>
      <c r="C76" s="7">
        <v>8.96774E-6</v>
      </c>
      <c r="D76">
        <f>'AZ6 RZ1'!C76-'AZ1 RZ1'!C76</f>
        <v>1.8491599999999998E-6</v>
      </c>
      <c r="E76" s="5">
        <f t="shared" si="1"/>
        <v>0.20620133946791497</v>
      </c>
    </row>
    <row r="77" spans="1:5" x14ac:dyDescent="0.25">
      <c r="B77" s="7">
        <v>63154</v>
      </c>
      <c r="C77" s="7">
        <v>1.4727999999999999E-6</v>
      </c>
      <c r="D77">
        <f>'AZ6 RZ1'!C77-'AZ1 RZ1'!C77</f>
        <v>4.6244999999999991E-7</v>
      </c>
      <c r="E77" s="5">
        <f t="shared" si="1"/>
        <v>0.31399375339489405</v>
      </c>
    </row>
    <row r="78" spans="1:5" x14ac:dyDescent="0.25">
      <c r="B78" s="7">
        <v>63155</v>
      </c>
      <c r="C78" s="7">
        <v>5.1173399999999999E-7</v>
      </c>
      <c r="D78">
        <f>'AZ6 RZ1'!C78-'AZ1 RZ1'!C78</f>
        <v>6.4386000000000005E-8</v>
      </c>
      <c r="E78" s="5">
        <f t="shared" si="1"/>
        <v>0.12581927329432871</v>
      </c>
    </row>
    <row r="79" spans="1:5" x14ac:dyDescent="0.25">
      <c r="A79" t="s">
        <v>7</v>
      </c>
      <c r="E79" s="5"/>
    </row>
    <row r="80" spans="1:5" x14ac:dyDescent="0.25">
      <c r="B80" s="7">
        <v>92235</v>
      </c>
      <c r="C80" s="7">
        <v>2.5427399999999999E-3</v>
      </c>
      <c r="D80">
        <f>'AZ6 RZ1'!C80-'AZ1 RZ1'!C80</f>
        <v>-3.0722999999999992E-4</v>
      </c>
      <c r="E80" s="5">
        <f t="shared" si="1"/>
        <v>-0.12082635267467375</v>
      </c>
    </row>
    <row r="81" spans="1:5" x14ac:dyDescent="0.25">
      <c r="B81" s="7">
        <v>92236</v>
      </c>
      <c r="C81" s="7">
        <v>3.8098100000000002E-4</v>
      </c>
      <c r="D81">
        <f>'AZ6 RZ1'!C81-'AZ1 RZ1'!C81</f>
        <v>5.2602999999999971E-5</v>
      </c>
      <c r="E81" s="5">
        <f t="shared" si="1"/>
        <v>0.13807250230326437</v>
      </c>
    </row>
    <row r="82" spans="1:5" x14ac:dyDescent="0.25">
      <c r="B82" s="7">
        <v>92237</v>
      </c>
      <c r="C82" s="7">
        <v>1.6444399999999999E-6</v>
      </c>
      <c r="D82">
        <f>'AZ6 RZ1'!C82-'AZ1 RZ1'!C82</f>
        <v>1.2020300000000003E-6</v>
      </c>
      <c r="E82" s="5">
        <f t="shared" si="1"/>
        <v>0.73096616477341847</v>
      </c>
    </row>
    <row r="83" spans="1:5" x14ac:dyDescent="0.25">
      <c r="A83" t="s">
        <v>4</v>
      </c>
      <c r="B83" s="7">
        <v>92238</v>
      </c>
      <c r="C83" s="7">
        <v>1.8116899999999998E-2</v>
      </c>
      <c r="D83">
        <f>'AZ6 RZ1'!C83-'AZ1 RZ1'!C83</f>
        <v>-1.8139999999999823E-4</v>
      </c>
      <c r="E83" s="5">
        <f t="shared" si="1"/>
        <v>-1.0012750525752101E-2</v>
      </c>
    </row>
    <row r="84" spans="1:5" x14ac:dyDescent="0.25">
      <c r="B84" s="7">
        <v>93237</v>
      </c>
      <c r="C84" s="7">
        <v>2.5089700000000001E-5</v>
      </c>
      <c r="D84">
        <f>'AZ6 RZ1'!C84-'AZ1 RZ1'!C84</f>
        <v>5.702799999999999E-6</v>
      </c>
      <c r="E84" s="5">
        <f t="shared" si="1"/>
        <v>0.22729646030044195</v>
      </c>
    </row>
    <row r="85" spans="1:5" x14ac:dyDescent="0.25">
      <c r="B85" s="7">
        <v>93239</v>
      </c>
      <c r="C85" s="7">
        <v>1.3974E-5</v>
      </c>
      <c r="D85">
        <f>'AZ6 RZ1'!C85-'AZ1 RZ1'!C85</f>
        <v>3.2154999999999983E-6</v>
      </c>
      <c r="E85" s="5">
        <f t="shared" si="1"/>
        <v>0.23010591097752955</v>
      </c>
    </row>
    <row r="86" spans="1:5" x14ac:dyDescent="0.25">
      <c r="B86" s="7">
        <v>94238</v>
      </c>
      <c r="C86" s="7">
        <v>6.1244500000000003E-6</v>
      </c>
      <c r="D86">
        <f>'AZ6 RZ1'!C86-'AZ1 RZ1'!C86</f>
        <v>2.1754199999999992E-6</v>
      </c>
      <c r="E86" s="5">
        <f t="shared" si="1"/>
        <v>0.35520250798030828</v>
      </c>
    </row>
    <row r="87" spans="1:5" x14ac:dyDescent="0.25">
      <c r="B87" s="7">
        <v>94239</v>
      </c>
      <c r="C87" s="7">
        <v>2.13993E-4</v>
      </c>
      <c r="D87">
        <f>'AZ6 RZ1'!C87-'AZ1 RZ1'!C87</f>
        <v>4.455399999999998E-5</v>
      </c>
      <c r="E87" s="5">
        <f t="shared" si="1"/>
        <v>0.20820307206310479</v>
      </c>
    </row>
    <row r="88" spans="1:5" x14ac:dyDescent="0.25">
      <c r="B88" s="7">
        <v>94240</v>
      </c>
      <c r="C88" s="7">
        <v>7.3532400000000001E-5</v>
      </c>
      <c r="D88">
        <f>'AZ6 RZ1'!C88-'AZ1 RZ1'!C88</f>
        <v>5.0175999999999975E-6</v>
      </c>
      <c r="E88" s="5">
        <f t="shared" si="1"/>
        <v>6.8236586865109763E-2</v>
      </c>
    </row>
    <row r="89" spans="1:5" x14ac:dyDescent="0.25">
      <c r="B89" s="7">
        <v>94241</v>
      </c>
      <c r="C89" s="7">
        <v>6.2605699999999996E-5</v>
      </c>
      <c r="D89">
        <f>'AZ6 RZ1'!C89-'AZ1 RZ1'!C89</f>
        <v>1.54518E-5</v>
      </c>
      <c r="E89" s="5">
        <f t="shared" si="1"/>
        <v>0.24681139257288076</v>
      </c>
    </row>
    <row r="90" spans="1:5" x14ac:dyDescent="0.25">
      <c r="B90" s="7">
        <v>94242</v>
      </c>
      <c r="C90" s="7">
        <v>2.2654100000000001E-5</v>
      </c>
      <c r="D90">
        <f>'AZ6 RZ1'!C90-'AZ1 RZ1'!C90</f>
        <v>5.9673999999999998E-6</v>
      </c>
      <c r="E90" s="5">
        <f t="shared" si="1"/>
        <v>0.26341368670571774</v>
      </c>
    </row>
    <row r="91" spans="1:5" x14ac:dyDescent="0.25">
      <c r="B91" s="7">
        <v>95241</v>
      </c>
      <c r="C91" s="7">
        <v>6.4387299999999998E-7</v>
      </c>
      <c r="D91">
        <f>'AZ6 RZ1'!C91-'AZ1 RZ1'!C91</f>
        <v>5.3900000000000026E-8</v>
      </c>
      <c r="E91" s="5">
        <f t="shared" si="1"/>
        <v>8.3712160627949964E-2</v>
      </c>
    </row>
    <row r="92" spans="1:5" x14ac:dyDescent="0.25">
      <c r="B92" s="7">
        <v>95243</v>
      </c>
      <c r="C92" s="7">
        <v>3.8408100000000004E-6</v>
      </c>
      <c r="D92">
        <f>'AZ6 RZ1'!C92-'AZ1 RZ1'!C92</f>
        <v>1.6988199999999994E-6</v>
      </c>
      <c r="E92" s="5">
        <f t="shared" si="1"/>
        <v>0.44230774237725878</v>
      </c>
    </row>
    <row r="93" spans="1:5" x14ac:dyDescent="0.25">
      <c r="D93" s="7" t="s">
        <v>8</v>
      </c>
      <c r="E93" s="8">
        <f>AVERAGE(E4:E92)</f>
        <v>0.17278752072987241</v>
      </c>
    </row>
    <row r="94" spans="1:5" x14ac:dyDescent="0.25">
      <c r="D94" s="7" t="s">
        <v>9</v>
      </c>
      <c r="E94" s="9">
        <f>STDEVA(E4:E92)</f>
        <v>0.10781124196159099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D6D7-D7A2-408F-8334-BF3A2D546DDF}">
  <dimension ref="A3:E94"/>
  <sheetViews>
    <sheetView topLeftCell="A60" workbookViewId="0">
      <selection activeCell="D93" sqref="D93:E94"/>
    </sheetView>
  </sheetViews>
  <sheetFormatPr baseColWidth="10" defaultColWidth="8.85546875" defaultRowHeight="15" x14ac:dyDescent="0.25"/>
  <cols>
    <col min="2" max="2" width="15" bestFit="1" customWidth="1"/>
    <col min="3" max="3" width="26.85546875" bestFit="1" customWidth="1"/>
    <col min="4" max="4" width="12" bestFit="1" customWidth="1"/>
    <col min="5" max="5" width="9.5703125" bestFit="1" customWidth="1"/>
  </cols>
  <sheetData>
    <row r="3" spans="2:5" ht="30" x14ac:dyDescent="0.25">
      <c r="B3" s="2" t="s">
        <v>2</v>
      </c>
      <c r="C3" s="2" t="s">
        <v>3</v>
      </c>
      <c r="D3" t="s">
        <v>5</v>
      </c>
      <c r="E3" t="s">
        <v>6</v>
      </c>
    </row>
    <row r="4" spans="2:5" x14ac:dyDescent="0.25">
      <c r="B4" s="3">
        <v>6012</v>
      </c>
      <c r="C4" s="4">
        <v>1.18212E-2</v>
      </c>
      <c r="D4">
        <f>'AZ6 RZ1'!C4-'AZ1 RZ4 '!C4</f>
        <v>-1.0000000000114084E-7</v>
      </c>
      <c r="E4" s="5">
        <f>D4/C4</f>
        <v>-8.4593780666210578E-6</v>
      </c>
    </row>
    <row r="5" spans="2:5" x14ac:dyDescent="0.25">
      <c r="B5" s="3">
        <v>8016</v>
      </c>
      <c r="C5" s="4">
        <v>3.5463399999999999E-2</v>
      </c>
      <c r="D5">
        <f>'AZ6 RZ1'!C5-'AZ1 RZ4 '!C5</f>
        <v>0</v>
      </c>
      <c r="E5" s="5">
        <f t="shared" ref="E5:E68" si="0">D5/C5</f>
        <v>0</v>
      </c>
    </row>
    <row r="6" spans="2:5" x14ac:dyDescent="0.25">
      <c r="B6" s="3">
        <v>36083</v>
      </c>
      <c r="C6" s="4">
        <v>8.8228199999999993E-6</v>
      </c>
      <c r="D6">
        <f>'AZ6 RZ1'!C6-'AZ1 RZ4 '!C6</f>
        <v>1.2612800000000012E-6</v>
      </c>
      <c r="E6" s="5">
        <f t="shared" si="0"/>
        <v>0.14295656037412091</v>
      </c>
    </row>
    <row r="7" spans="2:5" x14ac:dyDescent="0.25">
      <c r="B7" s="3">
        <v>36084</v>
      </c>
      <c r="C7" s="4">
        <v>2.0409200000000001E-5</v>
      </c>
      <c r="D7">
        <f>'AZ6 RZ1'!C7-'AZ1 RZ4 '!C7</f>
        <v>3.4907000000000003E-6</v>
      </c>
      <c r="E7" s="5">
        <f t="shared" si="0"/>
        <v>0.17103561139094134</v>
      </c>
    </row>
    <row r="8" spans="2:5" x14ac:dyDescent="0.25">
      <c r="B8" s="3">
        <v>36086</v>
      </c>
      <c r="C8" s="4">
        <v>3.48531E-5</v>
      </c>
      <c r="D8">
        <f>'AZ6 RZ1'!C8-'AZ1 RZ4 '!C8</f>
        <v>5.6140999999999976E-6</v>
      </c>
      <c r="E8" s="5">
        <f t="shared" si="0"/>
        <v>0.16107892841669744</v>
      </c>
    </row>
    <row r="9" spans="2:5" x14ac:dyDescent="0.25">
      <c r="B9" s="3">
        <v>37085</v>
      </c>
      <c r="C9" s="4">
        <v>1.99852E-5</v>
      </c>
      <c r="D9">
        <f>'AZ6 RZ1'!C9-'AZ1 RZ4 '!C9</f>
        <v>3.213499999999999E-6</v>
      </c>
      <c r="E9" s="5">
        <f t="shared" si="0"/>
        <v>0.16079398755078753</v>
      </c>
    </row>
    <row r="10" spans="2:5" x14ac:dyDescent="0.25">
      <c r="B10" s="3">
        <v>37087</v>
      </c>
      <c r="C10" s="4">
        <v>4.8516800000000003E-5</v>
      </c>
      <c r="D10">
        <f>'AZ6 RZ1'!C10-'AZ1 RZ4 '!C10</f>
        <v>7.7819999999999943E-6</v>
      </c>
      <c r="E10" s="5">
        <f t="shared" si="0"/>
        <v>0.16039804768657442</v>
      </c>
    </row>
    <row r="11" spans="2:5" x14ac:dyDescent="0.25">
      <c r="B11" s="3">
        <v>38088</v>
      </c>
      <c r="C11" s="4">
        <v>6.6013799999999995E-5</v>
      </c>
      <c r="D11">
        <f>'AZ6 RZ1'!C11-'AZ1 RZ4 '!C11</f>
        <v>1.0597500000000001E-5</v>
      </c>
      <c r="E11" s="5">
        <f t="shared" si="0"/>
        <v>0.16053461548948861</v>
      </c>
    </row>
    <row r="12" spans="2:5" x14ac:dyDescent="0.25">
      <c r="B12" s="3">
        <v>38089</v>
      </c>
      <c r="C12" s="4">
        <v>1.8956700000000001E-5</v>
      </c>
      <c r="D12">
        <f>'AZ6 RZ1'!C12-'AZ1 RZ4 '!C12</f>
        <v>4.3784999999999988E-6</v>
      </c>
      <c r="E12" s="5">
        <f t="shared" si="0"/>
        <v>0.23097374543037547</v>
      </c>
    </row>
    <row r="13" spans="2:5" x14ac:dyDescent="0.25">
      <c r="B13" s="3">
        <v>38090</v>
      </c>
      <c r="C13" s="4">
        <v>1.06115E-4</v>
      </c>
      <c r="D13">
        <f>'AZ6 RZ1'!C13-'AZ1 RZ4 '!C13</f>
        <v>1.6943000000000004E-5</v>
      </c>
      <c r="E13" s="5">
        <f t="shared" si="0"/>
        <v>0.15966639966074544</v>
      </c>
    </row>
    <row r="14" spans="2:5" x14ac:dyDescent="0.25">
      <c r="B14" s="3">
        <v>39089</v>
      </c>
      <c r="C14" s="4">
        <v>6.8912300000000001E-5</v>
      </c>
      <c r="D14">
        <f>'AZ6 RZ1'!C14-'AZ1 RZ4 '!C14</f>
        <v>9.6724999999999925E-6</v>
      </c>
      <c r="E14" s="5">
        <f t="shared" si="0"/>
        <v>0.14035955845328035</v>
      </c>
    </row>
    <row r="15" spans="2:5" x14ac:dyDescent="0.25">
      <c r="B15" s="3">
        <v>39091</v>
      </c>
      <c r="C15" s="4">
        <v>2.7036700000000002E-5</v>
      </c>
      <c r="D15">
        <f>'AZ6 RZ1'!C15-'AZ1 RZ4 '!C15</f>
        <v>5.8975999999999992E-6</v>
      </c>
      <c r="E15" s="5">
        <f t="shared" si="0"/>
        <v>0.21813313015271829</v>
      </c>
    </row>
    <row r="16" spans="2:5" x14ac:dyDescent="0.25">
      <c r="B16" s="3">
        <v>40091</v>
      </c>
      <c r="C16" s="4">
        <v>8.2203699999999994E-5</v>
      </c>
      <c r="D16">
        <f>'AZ6 RZ1'!C16-'AZ1 RZ4 '!C16</f>
        <v>1.172010000000001E-5</v>
      </c>
      <c r="E16" s="5">
        <f t="shared" si="0"/>
        <v>0.14257387441197916</v>
      </c>
    </row>
    <row r="17" spans="2:5" x14ac:dyDescent="0.25">
      <c r="B17" s="3">
        <v>40092</v>
      </c>
      <c r="C17" s="4">
        <v>1.1561999999999999E-4</v>
      </c>
      <c r="D17">
        <f>'AZ6 RZ1'!C17-'AZ1 RZ4 '!C17</f>
        <v>1.8855999999999997E-5</v>
      </c>
      <c r="E17" s="5">
        <f t="shared" si="0"/>
        <v>0.16308597128524474</v>
      </c>
    </row>
    <row r="18" spans="2:5" x14ac:dyDescent="0.25">
      <c r="B18" s="3">
        <v>40093</v>
      </c>
      <c r="C18" s="4">
        <v>1.23344E-4</v>
      </c>
      <c r="D18">
        <f>'AZ6 RZ1'!C18-'AZ1 RZ4 '!C18</f>
        <v>2.0181999999999991E-5</v>
      </c>
      <c r="E18" s="5">
        <f t="shared" si="0"/>
        <v>0.16362368660007776</v>
      </c>
    </row>
    <row r="19" spans="2:5" x14ac:dyDescent="0.25">
      <c r="B19" s="3">
        <v>40094</v>
      </c>
      <c r="C19" s="4">
        <v>1.2982E-4</v>
      </c>
      <c r="D19">
        <f>'AZ6 RZ1'!C19-'AZ1 RZ4 '!C19</f>
        <v>2.1605000000000007E-5</v>
      </c>
      <c r="E19" s="5">
        <f t="shared" si="0"/>
        <v>0.1664227391773225</v>
      </c>
    </row>
    <row r="20" spans="2:5" x14ac:dyDescent="0.25">
      <c r="B20" s="3">
        <v>40095</v>
      </c>
      <c r="C20" s="4">
        <v>3.5805300000000001E-5</v>
      </c>
      <c r="D20">
        <f>'AZ6 RZ1'!C20-'AZ1 RZ4 '!C20</f>
        <v>7.7000999999999976E-6</v>
      </c>
      <c r="E20" s="5">
        <f t="shared" si="0"/>
        <v>0.21505475446372457</v>
      </c>
    </row>
    <row r="21" spans="2:5" x14ac:dyDescent="0.25">
      <c r="B21" s="3">
        <v>40096</v>
      </c>
      <c r="C21" s="4">
        <v>1.2955900000000001E-4</v>
      </c>
      <c r="D21">
        <f>'AZ6 RZ1'!C21-'AZ1 RZ4 '!C21</f>
        <v>2.1676999999999976E-5</v>
      </c>
      <c r="E21" s="5">
        <f t="shared" si="0"/>
        <v>0.16731373351137299</v>
      </c>
    </row>
    <row r="22" spans="2:5" x14ac:dyDescent="0.25">
      <c r="B22" s="3">
        <v>41095</v>
      </c>
      <c r="C22" s="4">
        <v>1.8291499999999999E-5</v>
      </c>
      <c r="D22">
        <f>'AZ6 RZ1'!C22-'AZ1 RZ4 '!C22</f>
        <v>1.9254000000000002E-6</v>
      </c>
      <c r="E22" s="5">
        <f t="shared" si="0"/>
        <v>0.10526200694311567</v>
      </c>
    </row>
    <row r="23" spans="2:5" x14ac:dyDescent="0.25">
      <c r="B23" s="3">
        <v>42095</v>
      </c>
      <c r="C23" s="4">
        <v>7.4461800000000006E-5</v>
      </c>
      <c r="D23">
        <f>'AZ6 RZ1'!C23-'AZ1 RZ4 '!C23</f>
        <v>1.1136999999999999E-5</v>
      </c>
      <c r="E23" s="5">
        <f t="shared" si="0"/>
        <v>0.14956662342301688</v>
      </c>
    </row>
    <row r="24" spans="2:5" x14ac:dyDescent="0.25">
      <c r="B24" s="3">
        <v>42097</v>
      </c>
      <c r="C24" s="4">
        <v>9.28991E-5</v>
      </c>
      <c r="D24">
        <f>'AZ6 RZ1'!C24-'AZ1 RZ4 '!C24</f>
        <v>1.5713899999999999E-5</v>
      </c>
      <c r="E24" s="5">
        <f t="shared" si="0"/>
        <v>0.16915018552386404</v>
      </c>
    </row>
    <row r="25" spans="2:5" x14ac:dyDescent="0.25">
      <c r="B25" s="3">
        <v>42098</v>
      </c>
      <c r="C25" s="4">
        <v>1.2411900000000001E-4</v>
      </c>
      <c r="D25">
        <f>'AZ6 RZ1'!C25-'AZ1 RZ4 '!C25</f>
        <v>2.1266999999999998E-5</v>
      </c>
      <c r="E25" s="5">
        <f t="shared" si="0"/>
        <v>0.17134362990356028</v>
      </c>
    </row>
    <row r="26" spans="2:5" x14ac:dyDescent="0.25">
      <c r="B26" s="3">
        <v>42100</v>
      </c>
      <c r="C26" s="4">
        <v>1.3734899999999999E-4</v>
      </c>
      <c r="D26">
        <f>'AZ6 RZ1'!C26-'AZ1 RZ4 '!C26</f>
        <v>2.3620000000000021E-5</v>
      </c>
      <c r="E26" s="5">
        <f t="shared" si="0"/>
        <v>0.17197067324844029</v>
      </c>
    </row>
    <row r="27" spans="2:5" x14ac:dyDescent="0.25">
      <c r="B27" s="3">
        <v>43099</v>
      </c>
      <c r="C27" s="4">
        <v>1.17485E-4</v>
      </c>
      <c r="D27">
        <f>'AZ6 RZ1'!C27-'AZ1 RZ4 '!C27</f>
        <v>1.8252999999999989E-5</v>
      </c>
      <c r="E27" s="5">
        <f t="shared" si="0"/>
        <v>0.15536451461888742</v>
      </c>
    </row>
    <row r="28" spans="2:5" x14ac:dyDescent="0.25">
      <c r="B28" s="3">
        <v>44100</v>
      </c>
      <c r="C28" s="4">
        <v>1.23554E-5</v>
      </c>
      <c r="D28">
        <f>'AZ6 RZ1'!C28-'AZ1 RZ4 '!C28</f>
        <v>3.9852000000000004E-6</v>
      </c>
      <c r="E28" s="5">
        <f t="shared" si="0"/>
        <v>0.3225472263140004</v>
      </c>
    </row>
    <row r="29" spans="2:5" x14ac:dyDescent="0.25">
      <c r="B29" s="3">
        <v>44101</v>
      </c>
      <c r="C29" s="4">
        <v>1.11649E-4</v>
      </c>
      <c r="D29">
        <f>'AZ6 RZ1'!C29-'AZ1 RZ4 '!C29</f>
        <v>1.8798999999999994E-5</v>
      </c>
      <c r="E29" s="5">
        <f t="shared" si="0"/>
        <v>0.16837589230534974</v>
      </c>
    </row>
    <row r="30" spans="2:5" x14ac:dyDescent="0.25">
      <c r="B30" s="3">
        <v>44102</v>
      </c>
      <c r="C30" s="4">
        <v>1.05195E-4</v>
      </c>
      <c r="D30">
        <f>'AZ6 RZ1'!C30-'AZ1 RZ4 '!C30</f>
        <v>1.9328999999999991E-5</v>
      </c>
      <c r="E30" s="5">
        <f t="shared" si="0"/>
        <v>0.18374447454726928</v>
      </c>
    </row>
    <row r="31" spans="2:5" x14ac:dyDescent="0.25">
      <c r="B31" s="3">
        <v>44103</v>
      </c>
      <c r="C31" s="4">
        <v>1.5681599999999999E-5</v>
      </c>
      <c r="D31">
        <f>'AZ6 RZ1'!C31-'AZ1 RZ4 '!C31</f>
        <v>4.7988000000000022E-6</v>
      </c>
      <c r="E31" s="5">
        <f t="shared" si="0"/>
        <v>0.3060146923783289</v>
      </c>
    </row>
    <row r="32" spans="2:5" x14ac:dyDescent="0.25">
      <c r="B32" s="3">
        <v>44104</v>
      </c>
      <c r="C32" s="4">
        <v>6.0879599999999999E-5</v>
      </c>
      <c r="D32">
        <f>'AZ6 RZ1'!C32-'AZ1 RZ4 '!C32</f>
        <v>1.1911200000000002E-5</v>
      </c>
      <c r="E32" s="5">
        <f t="shared" si="0"/>
        <v>0.19565174541225636</v>
      </c>
    </row>
    <row r="33" spans="2:5" x14ac:dyDescent="0.25">
      <c r="B33" s="3">
        <v>44106</v>
      </c>
      <c r="C33" s="4">
        <v>2.1479900000000001E-5</v>
      </c>
      <c r="D33">
        <f>'AZ6 RZ1'!C33-'AZ1 RZ4 '!C33</f>
        <v>4.7930999999999999E-6</v>
      </c>
      <c r="E33" s="5">
        <f t="shared" si="0"/>
        <v>0.22314349694365429</v>
      </c>
    </row>
    <row r="34" spans="2:5" x14ac:dyDescent="0.25">
      <c r="B34" s="3">
        <v>45103</v>
      </c>
      <c r="C34" s="4">
        <v>5.0125299999999999E-5</v>
      </c>
      <c r="D34">
        <f>'AZ6 RZ1'!C34-'AZ1 RZ4 '!C34</f>
        <v>4.8402000000000015E-6</v>
      </c>
      <c r="E34" s="5">
        <f t="shared" si="0"/>
        <v>9.6562015588934166E-2</v>
      </c>
    </row>
    <row r="35" spans="2:5" x14ac:dyDescent="0.25">
      <c r="B35" s="3">
        <v>45105</v>
      </c>
      <c r="C35" s="4">
        <v>3.59655E-7</v>
      </c>
      <c r="D35">
        <f>'AZ6 RZ1'!C35-'AZ1 RZ4 '!C35</f>
        <v>7.1312999999999998E-8</v>
      </c>
      <c r="E35" s="5">
        <f t="shared" si="0"/>
        <v>0.19828168661634066</v>
      </c>
    </row>
    <row r="36" spans="2:5" x14ac:dyDescent="0.25">
      <c r="B36" s="3">
        <v>46105</v>
      </c>
      <c r="C36" s="4">
        <v>3.46429E-5</v>
      </c>
      <c r="D36">
        <f>'AZ6 RZ1'!C36-'AZ1 RZ4 '!C36</f>
        <v>6.6103000000000001E-6</v>
      </c>
      <c r="E36" s="5">
        <f t="shared" si="0"/>
        <v>0.1908125474483949</v>
      </c>
    </row>
    <row r="37" spans="2:5" x14ac:dyDescent="0.25">
      <c r="B37" s="3">
        <v>46106</v>
      </c>
      <c r="C37" s="4">
        <v>1.41455E-5</v>
      </c>
      <c r="D37">
        <f>'AZ6 RZ1'!C37-'AZ1 RZ4 '!C37</f>
        <v>3.6177999999999995E-6</v>
      </c>
      <c r="E37" s="5">
        <f t="shared" si="0"/>
        <v>0.25575624756989851</v>
      </c>
    </row>
    <row r="38" spans="2:5" x14ac:dyDescent="0.25">
      <c r="B38" s="3">
        <v>46107</v>
      </c>
      <c r="C38" s="4">
        <v>1.8224200000000001E-5</v>
      </c>
      <c r="D38">
        <f>'AZ6 RZ1'!C38-'AZ1 RZ4 '!C38</f>
        <v>4.1696999999999984E-6</v>
      </c>
      <c r="E38" s="5">
        <f t="shared" si="0"/>
        <v>0.22880016681116308</v>
      </c>
    </row>
    <row r="39" spans="2:5" x14ac:dyDescent="0.25">
      <c r="B39" s="3">
        <v>46108</v>
      </c>
      <c r="C39" s="4">
        <v>1.17465E-5</v>
      </c>
      <c r="D39">
        <f>'AZ6 RZ1'!C39-'AZ1 RZ4 '!C39</f>
        <v>2.7974999999999999E-6</v>
      </c>
      <c r="E39" s="5">
        <f t="shared" si="0"/>
        <v>0.23815604648193078</v>
      </c>
    </row>
    <row r="40" spans="2:5" x14ac:dyDescent="0.25">
      <c r="B40" s="3">
        <v>47109</v>
      </c>
      <c r="C40" s="4">
        <v>6.4835300000000002E-6</v>
      </c>
      <c r="D40">
        <f>'AZ6 RZ1'!C40-'AZ1 RZ4 '!C40</f>
        <v>1.3556400000000005E-6</v>
      </c>
      <c r="E40" s="5">
        <f t="shared" si="0"/>
        <v>0.20908980138905819</v>
      </c>
    </row>
    <row r="41" spans="2:5" x14ac:dyDescent="0.25">
      <c r="B41" s="3">
        <v>52130</v>
      </c>
      <c r="C41" s="4">
        <v>4.0901900000000002E-5</v>
      </c>
      <c r="D41">
        <f>'AZ6 RZ1'!C41-'AZ1 RZ4 '!C41</f>
        <v>7.1260999999999994E-6</v>
      </c>
      <c r="E41" s="5">
        <f t="shared" si="0"/>
        <v>0.17422418029480291</v>
      </c>
    </row>
    <row r="42" spans="2:5" x14ac:dyDescent="0.25">
      <c r="B42" s="3">
        <v>53129</v>
      </c>
      <c r="C42" s="4">
        <v>1.4742E-5</v>
      </c>
      <c r="D42">
        <f>'AZ6 RZ1'!C42-'AZ1 RZ4 '!C42</f>
        <v>2.6775999999999979E-6</v>
      </c>
      <c r="E42" s="5">
        <f t="shared" si="0"/>
        <v>0.18163071496404815</v>
      </c>
    </row>
    <row r="43" spans="2:5" x14ac:dyDescent="0.25">
      <c r="B43" s="3">
        <v>54131</v>
      </c>
      <c r="C43" s="4">
        <v>4.8350200000000003E-5</v>
      </c>
      <c r="D43">
        <f>'AZ6 RZ1'!C43-'AZ1 RZ4 '!C43</f>
        <v>5.6059999999999934E-6</v>
      </c>
      <c r="E43" s="5">
        <f t="shared" si="0"/>
        <v>0.11594574582938628</v>
      </c>
    </row>
    <row r="44" spans="2:5" x14ac:dyDescent="0.25">
      <c r="B44" s="3">
        <v>54132</v>
      </c>
      <c r="C44" s="4">
        <v>1.10426E-4</v>
      </c>
      <c r="D44">
        <f>'AZ6 RZ1'!C44-'AZ1 RZ4 '!C44</f>
        <v>2.1123000000000008E-5</v>
      </c>
      <c r="E44" s="5">
        <f t="shared" si="0"/>
        <v>0.1912864723887491</v>
      </c>
    </row>
    <row r="45" spans="2:5" x14ac:dyDescent="0.25">
      <c r="B45" s="3">
        <v>54133</v>
      </c>
      <c r="C45" s="4">
        <v>3.5288800000000001E-6</v>
      </c>
      <c r="D45">
        <f>'AZ6 RZ1'!C45-'AZ1 RZ4 '!C45</f>
        <v>1.6710600000000001E-6</v>
      </c>
      <c r="E45" s="5">
        <f t="shared" si="0"/>
        <v>0.47353834644419762</v>
      </c>
    </row>
    <row r="46" spans="2:5" x14ac:dyDescent="0.25">
      <c r="B46" s="3">
        <v>54134</v>
      </c>
      <c r="C46" s="4">
        <v>1.69743E-4</v>
      </c>
      <c r="D46">
        <f>'AZ6 RZ1'!C46-'AZ1 RZ4 '!C46</f>
        <v>2.9114999999999995E-5</v>
      </c>
      <c r="E46" s="5">
        <f t="shared" si="0"/>
        <v>0.17152400982662022</v>
      </c>
    </row>
    <row r="47" spans="2:5" x14ac:dyDescent="0.25">
      <c r="B47" s="3">
        <v>54135</v>
      </c>
      <c r="C47" s="4">
        <v>4.5748299999999997E-8</v>
      </c>
      <c r="D47">
        <f>'AZ6 RZ1'!C47-'AZ1 RZ4 '!C47</f>
        <v>7.177900000000001E-9</v>
      </c>
      <c r="E47" s="5">
        <f t="shared" si="0"/>
        <v>0.15689981922825552</v>
      </c>
    </row>
    <row r="48" spans="2:5" x14ac:dyDescent="0.25">
      <c r="B48" s="3">
        <v>54136</v>
      </c>
      <c r="C48" s="4">
        <v>2.61716E-4</v>
      </c>
      <c r="D48">
        <f>'AZ6 RZ1'!C48-'AZ1 RZ4 '!C48</f>
        <v>4.6120999999999988E-5</v>
      </c>
      <c r="E48" s="5">
        <f t="shared" si="0"/>
        <v>0.17622537406960212</v>
      </c>
    </row>
    <row r="49" spans="2:5" x14ac:dyDescent="0.25">
      <c r="B49" s="3">
        <v>55133</v>
      </c>
      <c r="C49" s="4">
        <v>1.2475100000000001E-4</v>
      </c>
      <c r="D49">
        <f>'AZ6 RZ1'!C49-'AZ1 RZ4 '!C49</f>
        <v>1.8041999999999988E-5</v>
      </c>
      <c r="E49" s="5">
        <f t="shared" si="0"/>
        <v>0.14462409118964967</v>
      </c>
    </row>
    <row r="50" spans="2:5" x14ac:dyDescent="0.25">
      <c r="B50" s="3">
        <v>55134</v>
      </c>
      <c r="C50" s="4">
        <v>1.30435E-5</v>
      </c>
      <c r="D50">
        <f>'AZ6 RZ1'!C50-'AZ1 RZ4 '!C50</f>
        <v>4.2250999999999996E-6</v>
      </c>
      <c r="E50" s="5">
        <f t="shared" si="0"/>
        <v>0.32392379346034422</v>
      </c>
    </row>
    <row r="51" spans="2:5" x14ac:dyDescent="0.25">
      <c r="B51" s="3">
        <v>55135</v>
      </c>
      <c r="C51" s="4">
        <v>2.3867799999999999E-5</v>
      </c>
      <c r="D51">
        <f>'AZ6 RZ1'!C51-'AZ1 RZ4 '!C51</f>
        <v>3.6010000000000016E-6</v>
      </c>
      <c r="E51" s="5">
        <f t="shared" si="0"/>
        <v>0.15087272392093121</v>
      </c>
    </row>
    <row r="52" spans="2:5" x14ac:dyDescent="0.25">
      <c r="B52" s="3">
        <v>55137</v>
      </c>
      <c r="C52" s="4">
        <v>1.3381800000000001E-4</v>
      </c>
      <c r="D52">
        <f>'AZ6 RZ1'!C52-'AZ1 RZ4 '!C52</f>
        <v>2.3046999999999998E-5</v>
      </c>
      <c r="E52" s="5">
        <f t="shared" si="0"/>
        <v>0.172226456829425</v>
      </c>
    </row>
    <row r="53" spans="2:5" x14ac:dyDescent="0.25">
      <c r="B53" s="3">
        <v>56138</v>
      </c>
      <c r="C53" s="4">
        <v>1.43208E-4</v>
      </c>
      <c r="D53">
        <f>'AZ6 RZ1'!C53-'AZ1 RZ4 '!C53</f>
        <v>2.4409000000000003E-5</v>
      </c>
      <c r="E53" s="5">
        <f t="shared" si="0"/>
        <v>0.17044438858164351</v>
      </c>
    </row>
    <row r="54" spans="2:5" x14ac:dyDescent="0.25">
      <c r="B54" s="3">
        <v>56140</v>
      </c>
      <c r="C54" s="4">
        <v>7.46515E-6</v>
      </c>
      <c r="D54">
        <f>'AZ6 RZ1'!C54-'AZ1 RZ4 '!C54</f>
        <v>3.5533499999999996E-6</v>
      </c>
      <c r="E54" s="5">
        <f t="shared" si="0"/>
        <v>0.47599177511503449</v>
      </c>
    </row>
    <row r="55" spans="2:5" x14ac:dyDescent="0.25">
      <c r="B55" s="3">
        <v>57139</v>
      </c>
      <c r="C55" s="4">
        <v>1.33752E-4</v>
      </c>
      <c r="D55">
        <f>'AZ6 RZ1'!C55-'AZ1 RZ4 '!C55</f>
        <v>2.2612999999999995E-5</v>
      </c>
      <c r="E55" s="5">
        <f t="shared" si="0"/>
        <v>0.1690666307793528</v>
      </c>
    </row>
    <row r="56" spans="2:5" x14ac:dyDescent="0.25">
      <c r="B56" s="3">
        <v>58140</v>
      </c>
      <c r="C56" s="4">
        <v>1.23084E-4</v>
      </c>
      <c r="D56">
        <f>'AZ6 RZ1'!C56-'AZ1 RZ4 '!C56</f>
        <v>1.8380999999999985E-5</v>
      </c>
      <c r="E56" s="5">
        <f t="shared" si="0"/>
        <v>0.14933703812030796</v>
      </c>
    </row>
    <row r="57" spans="2:5" x14ac:dyDescent="0.25">
      <c r="B57" s="3">
        <v>58141</v>
      </c>
      <c r="C57" s="4">
        <v>1.7812199999999999E-5</v>
      </c>
      <c r="D57">
        <f>'AZ6 RZ1'!C57-'AZ1 RZ4 '!C57</f>
        <v>5.5474000000000005E-6</v>
      </c>
      <c r="E57" s="5">
        <f t="shared" si="0"/>
        <v>0.31143822773155483</v>
      </c>
    </row>
    <row r="58" spans="2:5" x14ac:dyDescent="0.25">
      <c r="B58" s="3">
        <v>58142</v>
      </c>
      <c r="C58" s="4">
        <v>1.23316E-4</v>
      </c>
      <c r="D58">
        <f>'AZ6 RZ1'!C58-'AZ1 RZ4 '!C58</f>
        <v>2.0932999999999998E-5</v>
      </c>
      <c r="E58" s="5">
        <f t="shared" si="0"/>
        <v>0.16975088390800869</v>
      </c>
    </row>
    <row r="59" spans="2:5" x14ac:dyDescent="0.25">
      <c r="B59" s="3">
        <v>58144</v>
      </c>
      <c r="C59" s="4">
        <v>7.4534499999999996E-5</v>
      </c>
      <c r="D59">
        <f>'AZ6 RZ1'!C59-'AZ1 RZ4 '!C59</f>
        <v>1.2093400000000009E-5</v>
      </c>
      <c r="E59" s="5">
        <f t="shared" si="0"/>
        <v>0.16225237977044199</v>
      </c>
    </row>
    <row r="60" spans="2:5" x14ac:dyDescent="0.25">
      <c r="B60" s="3">
        <v>59141</v>
      </c>
      <c r="C60" s="4">
        <v>1.02157E-4</v>
      </c>
      <c r="D60">
        <f>'AZ6 RZ1'!C60-'AZ1 RZ4 '!C60</f>
        <v>1.4540999999999995E-5</v>
      </c>
      <c r="E60" s="5">
        <f t="shared" si="0"/>
        <v>0.1423397319811662</v>
      </c>
    </row>
    <row r="61" spans="2:5" x14ac:dyDescent="0.25">
      <c r="B61" s="3">
        <v>59143</v>
      </c>
      <c r="C61" s="4">
        <v>7.0062799999999996E-6</v>
      </c>
      <c r="D61">
        <f>'AZ6 RZ1'!C61-'AZ1 RZ4 '!C61</f>
        <v>3.6607200000000001E-6</v>
      </c>
      <c r="E61" s="5">
        <f t="shared" si="0"/>
        <v>0.52249125070650904</v>
      </c>
    </row>
    <row r="62" spans="2:5" x14ac:dyDescent="0.25">
      <c r="B62" s="3">
        <v>60143</v>
      </c>
      <c r="C62" s="4">
        <v>9.0401800000000006E-5</v>
      </c>
      <c r="D62">
        <f>'AZ6 RZ1'!C62-'AZ1 RZ4 '!C62</f>
        <v>1.0562199999999999E-5</v>
      </c>
      <c r="E62" s="5">
        <f t="shared" si="0"/>
        <v>0.11683616919132139</v>
      </c>
    </row>
    <row r="63" spans="2:5" x14ac:dyDescent="0.25">
      <c r="B63" s="3">
        <v>60144</v>
      </c>
      <c r="C63" s="4">
        <v>5.9014400000000002E-5</v>
      </c>
      <c r="D63">
        <f>'AZ6 RZ1'!C63-'AZ1 RZ4 '!C63</f>
        <v>1.2384300000000003E-5</v>
      </c>
      <c r="E63" s="5">
        <f t="shared" si="0"/>
        <v>0.20985217167335435</v>
      </c>
    </row>
    <row r="64" spans="2:5" x14ac:dyDescent="0.25">
      <c r="B64" s="3">
        <v>60145</v>
      </c>
      <c r="C64" s="4">
        <v>7.3404499999999998E-5</v>
      </c>
      <c r="D64">
        <f>'AZ6 RZ1'!C64-'AZ1 RZ4 '!C64</f>
        <v>1.1382900000000002E-5</v>
      </c>
      <c r="E64" s="5">
        <f t="shared" si="0"/>
        <v>0.15507087440143319</v>
      </c>
    </row>
    <row r="65" spans="1:5" x14ac:dyDescent="0.25">
      <c r="B65" s="3">
        <v>60146</v>
      </c>
      <c r="C65" s="4">
        <v>6.9555999999999996E-5</v>
      </c>
      <c r="D65">
        <f>'AZ6 RZ1'!C65-'AZ1 RZ4 '!C65</f>
        <v>1.27785E-5</v>
      </c>
      <c r="E65" s="5">
        <f t="shared" si="0"/>
        <v>0.18371527977457014</v>
      </c>
    </row>
    <row r="66" spans="1:5" x14ac:dyDescent="0.25">
      <c r="B66" s="3">
        <v>60147</v>
      </c>
      <c r="C66" s="4">
        <v>2.2913699999999998E-6</v>
      </c>
      <c r="D66">
        <f>'AZ6 RZ1'!C66-'AZ1 RZ4 '!C66</f>
        <v>1.0743400000000003E-6</v>
      </c>
      <c r="E66" s="5">
        <f t="shared" si="0"/>
        <v>0.46886360561585444</v>
      </c>
    </row>
    <row r="67" spans="1:5" x14ac:dyDescent="0.25">
      <c r="B67" s="3">
        <v>60148</v>
      </c>
      <c r="C67" s="4">
        <v>3.7584599999999999E-5</v>
      </c>
      <c r="D67">
        <f>'AZ6 RZ1'!C67-'AZ1 RZ4 '!C67</f>
        <v>6.5023000000000004E-6</v>
      </c>
      <c r="E67" s="5">
        <f t="shared" si="0"/>
        <v>0.17300436881062989</v>
      </c>
    </row>
    <row r="68" spans="1:5" x14ac:dyDescent="0.25">
      <c r="B68" s="3">
        <v>60150</v>
      </c>
      <c r="C68" s="4">
        <v>1.5597899999999999E-5</v>
      </c>
      <c r="D68">
        <f>'AZ6 RZ1'!C68-'AZ1 RZ4 '!C68</f>
        <v>2.7845000000000002E-6</v>
      </c>
      <c r="E68" s="5">
        <f t="shared" si="0"/>
        <v>0.17851762096179616</v>
      </c>
    </row>
    <row r="69" spans="1:5" x14ac:dyDescent="0.25">
      <c r="B69" s="3">
        <v>61147</v>
      </c>
      <c r="C69" s="4">
        <v>2.3803900000000001E-5</v>
      </c>
      <c r="D69">
        <f>'AZ6 RZ1'!C69-'AZ1 RZ4 '!C69</f>
        <v>1.5455999999999975E-6</v>
      </c>
      <c r="E69" s="5">
        <f t="shared" ref="E69:E78" si="1">D69/C69</f>
        <v>6.4930536592743102E-2</v>
      </c>
    </row>
    <row r="70" spans="1:5" x14ac:dyDescent="0.25">
      <c r="B70" s="3">
        <v>61149</v>
      </c>
      <c r="C70" s="4">
        <v>3.0211499999999998E-7</v>
      </c>
      <c r="D70">
        <f>'AZ6 RZ1'!C70-'AZ1 RZ4 '!C70</f>
        <v>4.819300000000004E-8</v>
      </c>
      <c r="E70" s="5">
        <f t="shared" si="1"/>
        <v>0.15951872631282804</v>
      </c>
    </row>
    <row r="71" spans="1:5" x14ac:dyDescent="0.25">
      <c r="B71" s="3">
        <v>62147</v>
      </c>
      <c r="C71" s="4">
        <v>2.8116700000000001E-6</v>
      </c>
      <c r="D71">
        <f>'AZ6 RZ1'!C71-'AZ1 RZ4 '!C71</f>
        <v>3.2860999999999998E-7</v>
      </c>
      <c r="E71" s="5">
        <f t="shared" si="1"/>
        <v>0.11687360180960069</v>
      </c>
    </row>
    <row r="72" spans="1:5" x14ac:dyDescent="0.25">
      <c r="B72" s="3">
        <v>62149</v>
      </c>
      <c r="C72" s="4">
        <v>2.36373E-7</v>
      </c>
      <c r="D72">
        <f>'AZ6 RZ1'!C72-'AZ1 RZ4 '!C72</f>
        <v>8.7965999999999982E-8</v>
      </c>
      <c r="E72" s="5">
        <f t="shared" si="1"/>
        <v>0.37214910332398365</v>
      </c>
    </row>
    <row r="73" spans="1:5" x14ac:dyDescent="0.25">
      <c r="B73" s="3">
        <v>62150</v>
      </c>
      <c r="C73" s="4">
        <v>2.09913E-5</v>
      </c>
      <c r="D73">
        <f>'AZ6 RZ1'!C73-'AZ1 RZ4 '!C73</f>
        <v>3.2918000000000012E-6</v>
      </c>
      <c r="E73" s="5">
        <f t="shared" si="1"/>
        <v>0.15681734813946735</v>
      </c>
    </row>
    <row r="74" spans="1:5" x14ac:dyDescent="0.25">
      <c r="B74" s="3">
        <v>62151</v>
      </c>
      <c r="C74" s="4">
        <v>1.57053E-6</v>
      </c>
      <c r="D74">
        <f>'AZ6 RZ1'!C74-'AZ1 RZ4 '!C74</f>
        <v>2.9574000000000003E-7</v>
      </c>
      <c r="E74" s="5">
        <f t="shared" si="1"/>
        <v>0.18830585853183321</v>
      </c>
    </row>
    <row r="75" spans="1:5" x14ac:dyDescent="0.25">
      <c r="B75" s="3">
        <v>62152</v>
      </c>
      <c r="C75" s="4">
        <v>9.7012400000000006E-6</v>
      </c>
      <c r="D75">
        <f>'AZ6 RZ1'!C75-'AZ1 RZ4 '!C75</f>
        <v>9.5605999999999979E-7</v>
      </c>
      <c r="E75" s="5">
        <f t="shared" si="1"/>
        <v>9.8550288416738449E-2</v>
      </c>
    </row>
    <row r="76" spans="1:5" x14ac:dyDescent="0.25">
      <c r="B76" s="3">
        <v>63153</v>
      </c>
      <c r="C76" s="4">
        <v>8.9301200000000008E-6</v>
      </c>
      <c r="D76">
        <f>'AZ6 RZ1'!C76-'AZ1 RZ4 '!C76</f>
        <v>1.8867799999999989E-6</v>
      </c>
      <c r="E76" s="5">
        <f t="shared" si="1"/>
        <v>0.21128271512588842</v>
      </c>
    </row>
    <row r="77" spans="1:5" x14ac:dyDescent="0.25">
      <c r="B77" s="3">
        <v>63154</v>
      </c>
      <c r="C77" s="4">
        <v>1.4322700000000001E-6</v>
      </c>
      <c r="D77">
        <f>'AZ6 RZ1'!C77-'AZ1 RZ4 '!C77</f>
        <v>5.0297999999999976E-7</v>
      </c>
      <c r="E77" s="5">
        <f t="shared" si="1"/>
        <v>0.35117680325636907</v>
      </c>
    </row>
    <row r="78" spans="1:5" x14ac:dyDescent="0.25">
      <c r="B78" s="3">
        <v>63155</v>
      </c>
      <c r="C78" s="4">
        <v>5.2066199999999995E-7</v>
      </c>
      <c r="D78">
        <f>'AZ6 RZ1'!C78-'AZ1 RZ4 '!C78</f>
        <v>5.5458000000000046E-8</v>
      </c>
      <c r="E78" s="5">
        <f t="shared" si="1"/>
        <v>0.10651439897668746</v>
      </c>
    </row>
    <row r="79" spans="1:5" x14ac:dyDescent="0.25">
      <c r="A79" t="s">
        <v>7</v>
      </c>
      <c r="B79" s="3"/>
      <c r="C79" s="4"/>
      <c r="E79" s="5"/>
    </row>
    <row r="80" spans="1:5" x14ac:dyDescent="0.25">
      <c r="B80" s="3">
        <v>92235</v>
      </c>
      <c r="C80" s="4">
        <v>2.5611900000000001E-3</v>
      </c>
      <c r="D80" s="6">
        <f>'AZ6 RZ1'!C80-'AZ1 RZ4 '!C80</f>
        <v>-3.2568000000000007E-4</v>
      </c>
      <c r="E80" s="5">
        <f>D80/C80</f>
        <v>-0.12715964063579824</v>
      </c>
    </row>
    <row r="81" spans="1:5" x14ac:dyDescent="0.25">
      <c r="B81" s="3">
        <v>92236</v>
      </c>
      <c r="C81" s="4">
        <v>3.7764100000000001E-4</v>
      </c>
      <c r="D81" s="6">
        <f>'AZ6 RZ1'!C81-'AZ1 RZ4 '!C81</f>
        <v>5.5942999999999976E-5</v>
      </c>
      <c r="E81" s="5">
        <f t="shared" ref="E81:E92" si="2">D81/C81</f>
        <v>0.14813804645152401</v>
      </c>
    </row>
    <row r="82" spans="1:5" x14ac:dyDescent="0.25">
      <c r="B82" s="3">
        <v>92237</v>
      </c>
      <c r="C82" s="4">
        <v>1.17962E-6</v>
      </c>
      <c r="D82" s="6">
        <f>'AZ6 RZ1'!C82-'AZ1 RZ4 '!C82</f>
        <v>1.6668500000000002E-6</v>
      </c>
      <c r="E82" s="5">
        <f t="shared" si="2"/>
        <v>1.4130397924755431</v>
      </c>
    </row>
    <row r="83" spans="1:5" x14ac:dyDescent="0.25">
      <c r="A83" t="s">
        <v>4</v>
      </c>
      <c r="B83" s="3">
        <v>92238</v>
      </c>
      <c r="C83" s="4">
        <v>1.8129300000000001E-2</v>
      </c>
      <c r="D83" s="6">
        <f>'AZ6 RZ1'!C83-'AZ1 RZ4 '!C83</f>
        <v>-1.9380000000000092E-4</v>
      </c>
      <c r="E83" s="5">
        <f t="shared" si="2"/>
        <v>-1.0689877711770499E-2</v>
      </c>
    </row>
    <row r="84" spans="1:5" x14ac:dyDescent="0.25">
      <c r="B84" s="3">
        <v>93237</v>
      </c>
      <c r="C84" s="4">
        <v>2.5084900000000001E-5</v>
      </c>
      <c r="D84" s="6">
        <f>'AZ6 RZ1'!C84-'AZ1 RZ4 '!C84</f>
        <v>5.7075999999999994E-6</v>
      </c>
      <c r="E84" s="5">
        <f t="shared" si="2"/>
        <v>0.2275313036926597</v>
      </c>
    </row>
    <row r="85" spans="1:5" x14ac:dyDescent="0.25">
      <c r="B85" s="3">
        <v>93239</v>
      </c>
      <c r="C85" s="4">
        <v>8.4750799999999998E-6</v>
      </c>
      <c r="D85" s="6">
        <f>'AZ6 RZ1'!C85-'AZ1 RZ4 '!C85</f>
        <v>8.7144199999999988E-6</v>
      </c>
      <c r="E85" s="5">
        <f t="shared" si="2"/>
        <v>1.0282404413881638</v>
      </c>
    </row>
    <row r="86" spans="1:5" x14ac:dyDescent="0.25">
      <c r="B86" s="3">
        <v>94238</v>
      </c>
      <c r="C86" s="4">
        <v>6.0568199999999999E-6</v>
      </c>
      <c r="D86" s="6">
        <f>'AZ6 RZ1'!C86-'AZ1 RZ4 '!C86</f>
        <v>2.2430499999999996E-6</v>
      </c>
      <c r="E86" s="5">
        <f t="shared" si="2"/>
        <v>0.37033459802338514</v>
      </c>
    </row>
    <row r="87" spans="1:5" x14ac:dyDescent="0.25">
      <c r="B87" s="3">
        <v>94239</v>
      </c>
      <c r="C87" s="4">
        <v>2.1373799999999999E-4</v>
      </c>
      <c r="D87" s="6">
        <f>'AZ6 RZ1'!C87-'AZ1 RZ4 '!C87</f>
        <v>4.4808999999999984E-5</v>
      </c>
      <c r="E87" s="5">
        <f t="shared" si="2"/>
        <v>0.20964451805481471</v>
      </c>
    </row>
    <row r="88" spans="1:5" x14ac:dyDescent="0.25">
      <c r="B88" s="3">
        <v>94240</v>
      </c>
      <c r="C88" s="4">
        <v>7.3957599999999998E-5</v>
      </c>
      <c r="D88" s="6">
        <f>'AZ6 RZ1'!C88-'AZ1 RZ4 '!C88</f>
        <v>4.5924000000000003E-6</v>
      </c>
      <c r="E88" s="5">
        <f t="shared" si="2"/>
        <v>6.2095038238125635E-2</v>
      </c>
    </row>
    <row r="89" spans="1:5" x14ac:dyDescent="0.25">
      <c r="B89" s="3">
        <v>94241</v>
      </c>
      <c r="C89" s="4">
        <v>6.1074099999999999E-5</v>
      </c>
      <c r="D89" s="6">
        <f>'AZ6 RZ1'!C89-'AZ1 RZ4 '!C89</f>
        <v>1.6983399999999997E-5</v>
      </c>
      <c r="E89" s="5">
        <f t="shared" si="2"/>
        <v>0.27807859632806703</v>
      </c>
    </row>
    <row r="90" spans="1:5" x14ac:dyDescent="0.25">
      <c r="B90" s="3">
        <v>94242</v>
      </c>
      <c r="C90" s="4">
        <v>2.24036E-5</v>
      </c>
      <c r="D90" s="6">
        <f>'AZ6 RZ1'!C90-'AZ1 RZ4 '!C90</f>
        <v>6.2179000000000002E-6</v>
      </c>
      <c r="E90" s="5">
        <f t="shared" si="2"/>
        <v>0.27754021675087931</v>
      </c>
    </row>
    <row r="91" spans="1:5" x14ac:dyDescent="0.25">
      <c r="B91" s="3">
        <v>95241</v>
      </c>
      <c r="C91" s="4">
        <v>6.5704600000000002E-7</v>
      </c>
      <c r="D91" s="6">
        <f>'AZ6 RZ1'!C91-'AZ1 RZ4 '!C91</f>
        <v>4.0726999999999991E-8</v>
      </c>
      <c r="E91" s="5">
        <f t="shared" si="2"/>
        <v>6.1985005616045134E-2</v>
      </c>
    </row>
    <row r="92" spans="1:5" x14ac:dyDescent="0.25">
      <c r="B92" s="3">
        <v>95243</v>
      </c>
      <c r="C92" s="4">
        <v>3.7397200000000001E-6</v>
      </c>
      <c r="D92" s="6">
        <f>'AZ6 RZ1'!C92-'AZ1 RZ4 '!C92</f>
        <v>1.7999099999999998E-6</v>
      </c>
      <c r="E92" s="5">
        <f t="shared" si="2"/>
        <v>0.48129539109879876</v>
      </c>
    </row>
    <row r="93" spans="1:5" x14ac:dyDescent="0.25">
      <c r="D93" s="7" t="s">
        <v>8</v>
      </c>
      <c r="E93" s="8">
        <f>AVERAGE(E4:E92)</f>
        <v>0.21479178970420934</v>
      </c>
    </row>
    <row r="94" spans="1:5" x14ac:dyDescent="0.25">
      <c r="D94" s="7" t="s">
        <v>9</v>
      </c>
      <c r="E94" s="9">
        <f>STDEVA(E4:E92)</f>
        <v>0.18909077349594972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142FC-62E0-4462-9580-253C379A1C7D}">
  <dimension ref="A3:E94"/>
  <sheetViews>
    <sheetView topLeftCell="A69" workbookViewId="0">
      <selection activeCell="D93" sqref="D93:E94"/>
    </sheetView>
  </sheetViews>
  <sheetFormatPr baseColWidth="10" defaultColWidth="8.85546875" defaultRowHeight="15" x14ac:dyDescent="0.25"/>
  <cols>
    <col min="2" max="2" width="15" bestFit="1" customWidth="1"/>
    <col min="3" max="3" width="26.85546875" bestFit="1" customWidth="1"/>
    <col min="4" max="4" width="12" bestFit="1" customWidth="1"/>
    <col min="5" max="5" width="9.5703125" bestFit="1" customWidth="1"/>
  </cols>
  <sheetData>
    <row r="3" spans="2:5" ht="30" x14ac:dyDescent="0.25">
      <c r="B3" s="2" t="s">
        <v>2</v>
      </c>
      <c r="C3" s="2" t="s">
        <v>3</v>
      </c>
      <c r="D3" t="s">
        <v>5</v>
      </c>
      <c r="E3" t="s">
        <v>6</v>
      </c>
    </row>
    <row r="4" spans="2:5" x14ac:dyDescent="0.25">
      <c r="B4" s="3">
        <v>6012</v>
      </c>
      <c r="C4" s="4">
        <v>1.1821099999999999E-2</v>
      </c>
      <c r="D4">
        <f>'AZ6 RZ1'!C4-'AZ6 RZ4 '!C4</f>
        <v>0</v>
      </c>
      <c r="E4" s="5">
        <f>D4/C4</f>
        <v>0</v>
      </c>
    </row>
    <row r="5" spans="2:5" x14ac:dyDescent="0.25">
      <c r="B5" s="3">
        <v>8016</v>
      </c>
      <c r="C5" s="4">
        <v>3.5463399999999999E-2</v>
      </c>
      <c r="D5">
        <f>'AZ6 RZ1'!C5-'AZ6 RZ4 '!C5</f>
        <v>0</v>
      </c>
      <c r="E5" s="5">
        <f t="shared" ref="E5:E68" si="0">D5/C5</f>
        <v>0</v>
      </c>
    </row>
    <row r="6" spans="2:5" x14ac:dyDescent="0.25">
      <c r="B6" s="3">
        <v>36083</v>
      </c>
      <c r="C6" s="4">
        <v>9.8733999999999994E-6</v>
      </c>
      <c r="D6">
        <f>'AZ6 RZ1'!C6-'AZ6 RZ4 '!C6</f>
        <v>2.1070000000000122E-7</v>
      </c>
      <c r="E6" s="5">
        <f t="shared" si="0"/>
        <v>2.1340166507991292E-2</v>
      </c>
    </row>
    <row r="7" spans="2:5" x14ac:dyDescent="0.25">
      <c r="B7" s="3">
        <v>36084</v>
      </c>
      <c r="C7" s="4">
        <v>2.3232899999999999E-5</v>
      </c>
      <c r="D7">
        <f>'AZ6 RZ1'!C7-'AZ6 RZ4 '!C7</f>
        <v>6.6700000000000225E-7</v>
      </c>
      <c r="E7" s="5">
        <f t="shared" si="0"/>
        <v>2.8709287260738105E-2</v>
      </c>
    </row>
    <row r="8" spans="2:5" x14ac:dyDescent="0.25">
      <c r="B8" s="3">
        <v>36086</v>
      </c>
      <c r="C8" s="4">
        <v>3.9438799999999999E-5</v>
      </c>
      <c r="D8">
        <f>'AZ6 RZ1'!C8-'AZ6 RZ4 '!C8</f>
        <v>1.0283999999999985E-6</v>
      </c>
      <c r="E8" s="5">
        <f t="shared" si="0"/>
        <v>2.6075844092619413E-2</v>
      </c>
    </row>
    <row r="9" spans="2:5" x14ac:dyDescent="0.25">
      <c r="B9" s="3">
        <v>37085</v>
      </c>
      <c r="C9" s="4">
        <v>2.2624199999999999E-5</v>
      </c>
      <c r="D9">
        <f>'AZ6 RZ1'!C9-'AZ6 RZ4 '!C9</f>
        <v>5.7449999999999933E-7</v>
      </c>
      <c r="E9" s="5">
        <f t="shared" si="0"/>
        <v>2.5393163073169408E-2</v>
      </c>
    </row>
    <row r="10" spans="2:5" x14ac:dyDescent="0.25">
      <c r="B10" s="3">
        <v>37087</v>
      </c>
      <c r="C10" s="4">
        <v>5.4884499999999999E-5</v>
      </c>
      <c r="D10">
        <f>'AZ6 RZ1'!C10-'AZ6 RZ4 '!C10</f>
        <v>1.4142999999999976E-6</v>
      </c>
      <c r="E10" s="5">
        <f t="shared" si="0"/>
        <v>2.5768659639788968E-2</v>
      </c>
    </row>
    <row r="11" spans="2:5" x14ac:dyDescent="0.25">
      <c r="B11" s="3">
        <v>38088</v>
      </c>
      <c r="C11" s="4">
        <v>7.4682800000000003E-5</v>
      </c>
      <c r="D11">
        <f>'AZ6 RZ1'!C11-'AZ6 RZ4 '!C11</f>
        <v>1.9284999999999935E-6</v>
      </c>
      <c r="E11" s="5">
        <f t="shared" si="0"/>
        <v>2.5822545485707463E-2</v>
      </c>
    </row>
    <row r="12" spans="2:5" x14ac:dyDescent="0.25">
      <c r="B12" s="3">
        <v>38089</v>
      </c>
      <c r="C12" s="4">
        <v>2.1429599999999999E-5</v>
      </c>
      <c r="D12">
        <f>'AZ6 RZ1'!C12-'AZ6 RZ4 '!C12</f>
        <v>1.9056000000000009E-6</v>
      </c>
      <c r="E12" s="5">
        <f t="shared" si="0"/>
        <v>8.8923731660880329E-2</v>
      </c>
    </row>
    <row r="13" spans="2:5" x14ac:dyDescent="0.25">
      <c r="B13" s="3">
        <v>38090</v>
      </c>
      <c r="C13" s="4">
        <v>1.19938E-4</v>
      </c>
      <c r="D13">
        <f>'AZ6 RZ1'!C13-'AZ6 RZ4 '!C13</f>
        <v>3.1199999999999972E-6</v>
      </c>
      <c r="E13" s="5">
        <f t="shared" si="0"/>
        <v>2.6013440277476672E-2</v>
      </c>
    </row>
    <row r="14" spans="2:5" x14ac:dyDescent="0.25">
      <c r="B14" s="3">
        <v>39089</v>
      </c>
      <c r="C14" s="4">
        <v>7.7937599999999997E-5</v>
      </c>
      <c r="D14">
        <f>'AZ6 RZ1'!C14-'AZ6 RZ4 '!C14</f>
        <v>6.4719999999999611E-7</v>
      </c>
      <c r="E14" s="5">
        <f t="shared" si="0"/>
        <v>8.3040791607644597E-3</v>
      </c>
    </row>
    <row r="15" spans="2:5" x14ac:dyDescent="0.25">
      <c r="B15" s="3">
        <v>39091</v>
      </c>
      <c r="C15" s="4">
        <v>3.0427399999999999E-5</v>
      </c>
      <c r="D15">
        <f>'AZ6 RZ1'!C15-'AZ6 RZ4 '!C15</f>
        <v>2.5069000000000014E-6</v>
      </c>
      <c r="E15" s="5">
        <f t="shared" si="0"/>
        <v>8.238955678105922E-2</v>
      </c>
    </row>
    <row r="16" spans="2:5" x14ac:dyDescent="0.25">
      <c r="B16" s="3">
        <v>40091</v>
      </c>
      <c r="C16" s="4">
        <v>9.3243800000000003E-5</v>
      </c>
      <c r="D16">
        <f>'AZ6 RZ1'!C16-'AZ6 RZ4 '!C16</f>
        <v>6.8000000000000027E-7</v>
      </c>
      <c r="E16" s="5">
        <f t="shared" si="0"/>
        <v>7.2927100783108396E-3</v>
      </c>
    </row>
    <row r="17" spans="2:5" x14ac:dyDescent="0.25">
      <c r="B17" s="3">
        <v>40092</v>
      </c>
      <c r="C17" s="4">
        <v>1.30994E-4</v>
      </c>
      <c r="D17">
        <f>'AZ6 RZ1'!C17-'AZ6 RZ4 '!C17</f>
        <v>3.4819999999999914E-6</v>
      </c>
      <c r="E17" s="5">
        <f t="shared" si="0"/>
        <v>2.6581370139090274E-2</v>
      </c>
    </row>
    <row r="18" spans="2:5" x14ac:dyDescent="0.25">
      <c r="B18" s="3">
        <v>40093</v>
      </c>
      <c r="C18" s="4">
        <v>1.39846E-4</v>
      </c>
      <c r="D18">
        <f>'AZ6 RZ1'!C18-'AZ6 RZ4 '!C18</f>
        <v>3.6799999999999919E-6</v>
      </c>
      <c r="E18" s="5">
        <f t="shared" si="0"/>
        <v>2.6314660412167613E-2</v>
      </c>
    </row>
    <row r="19" spans="2:5" x14ac:dyDescent="0.25">
      <c r="B19" s="3">
        <v>40094</v>
      </c>
      <c r="C19" s="4">
        <v>1.47291E-4</v>
      </c>
      <c r="D19">
        <f>'AZ6 RZ1'!C19-'AZ6 RZ4 '!C19</f>
        <v>4.1340000000000116E-6</v>
      </c>
      <c r="E19" s="5">
        <f t="shared" si="0"/>
        <v>2.8066887997230054E-2</v>
      </c>
    </row>
    <row r="20" spans="2:5" x14ac:dyDescent="0.25">
      <c r="B20" s="3">
        <v>40095</v>
      </c>
      <c r="C20" s="4">
        <v>4.0184700000000002E-5</v>
      </c>
      <c r="D20">
        <f>'AZ6 RZ1'!C20-'AZ6 RZ4 '!C20</f>
        <v>3.3206999999999969E-6</v>
      </c>
      <c r="E20" s="5">
        <f t="shared" si="0"/>
        <v>8.263592859969085E-2</v>
      </c>
    </row>
    <row r="21" spans="2:5" x14ac:dyDescent="0.25">
      <c r="B21" s="3">
        <v>40096</v>
      </c>
      <c r="C21" s="4">
        <v>1.47107E-4</v>
      </c>
      <c r="D21">
        <f>'AZ6 RZ1'!C21-'AZ6 RZ4 '!C21</f>
        <v>4.1289999999999871E-6</v>
      </c>
      <c r="E21" s="5">
        <f t="shared" si="0"/>
        <v>2.8068004921587598E-2</v>
      </c>
    </row>
    <row r="22" spans="2:5" x14ac:dyDescent="0.25">
      <c r="B22" s="3">
        <v>41095</v>
      </c>
      <c r="C22" s="4">
        <v>1.9564399999999999E-5</v>
      </c>
      <c r="D22">
        <f>'AZ6 RZ1'!C22-'AZ6 RZ4 '!C22</f>
        <v>6.5250000000000095E-7</v>
      </c>
      <c r="E22" s="5">
        <f t="shared" si="0"/>
        <v>3.3351393347099884E-2</v>
      </c>
    </row>
    <row r="23" spans="2:5" x14ac:dyDescent="0.25">
      <c r="B23" s="3">
        <v>42095</v>
      </c>
      <c r="C23" s="4">
        <v>8.5851600000000003E-5</v>
      </c>
      <c r="D23">
        <f>'AZ6 RZ1'!C23-'AZ6 RZ4 '!C23</f>
        <v>-2.5279999999999866E-7</v>
      </c>
      <c r="E23" s="5">
        <f t="shared" si="0"/>
        <v>-2.9446160584077484E-3</v>
      </c>
    </row>
    <row r="24" spans="2:5" x14ac:dyDescent="0.25">
      <c r="B24" s="3">
        <v>42097</v>
      </c>
      <c r="C24" s="4">
        <v>1.05655E-4</v>
      </c>
      <c r="D24">
        <f>'AZ6 RZ1'!C24-'AZ6 RZ4 '!C24</f>
        <v>2.9579999999999944E-6</v>
      </c>
      <c r="E24" s="5">
        <f t="shared" si="0"/>
        <v>2.799678197908281E-2</v>
      </c>
    </row>
    <row r="25" spans="2:5" x14ac:dyDescent="0.25">
      <c r="B25" s="3">
        <v>42098</v>
      </c>
      <c r="C25" s="4">
        <v>1.41221E-4</v>
      </c>
      <c r="D25">
        <f>'AZ6 RZ1'!C25-'AZ6 RZ4 '!C25</f>
        <v>4.1650000000000118E-6</v>
      </c>
      <c r="E25" s="5">
        <f t="shared" si="0"/>
        <v>2.9492780818716847E-2</v>
      </c>
    </row>
    <row r="26" spans="2:5" x14ac:dyDescent="0.25">
      <c r="B26" s="3">
        <v>42100</v>
      </c>
      <c r="C26" s="4">
        <v>1.5634500000000001E-4</v>
      </c>
      <c r="D26">
        <f>'AZ6 RZ1'!C26-'AZ6 RZ4 '!C26</f>
        <v>4.6240000000000018E-6</v>
      </c>
      <c r="E26" s="5">
        <f t="shared" si="0"/>
        <v>2.957561802424127E-2</v>
      </c>
    </row>
    <row r="27" spans="2:5" x14ac:dyDescent="0.25">
      <c r="B27" s="3">
        <v>43099</v>
      </c>
      <c r="C27" s="4">
        <v>1.33263E-4</v>
      </c>
      <c r="D27">
        <f>'AZ6 RZ1'!C27-'AZ6 RZ4 '!C27</f>
        <v>2.4749999999999924E-6</v>
      </c>
      <c r="E27" s="5">
        <f t="shared" si="0"/>
        <v>1.857229688660763E-2</v>
      </c>
    </row>
    <row r="28" spans="2:5" x14ac:dyDescent="0.25">
      <c r="B28" s="3">
        <v>44100</v>
      </c>
      <c r="C28" s="4">
        <v>1.47292E-5</v>
      </c>
      <c r="D28">
        <f>'AZ6 RZ1'!C28-'AZ6 RZ4 '!C28</f>
        <v>1.6114000000000012E-6</v>
      </c>
      <c r="E28" s="5">
        <f t="shared" si="0"/>
        <v>0.10940173261276928</v>
      </c>
    </row>
    <row r="29" spans="2:5" x14ac:dyDescent="0.25">
      <c r="B29" s="3">
        <v>44101</v>
      </c>
      <c r="C29" s="4">
        <v>1.2701999999999999E-4</v>
      </c>
      <c r="D29">
        <f>'AZ6 RZ1'!C29-'AZ6 RZ4 '!C29</f>
        <v>3.4280000000000085E-6</v>
      </c>
      <c r="E29" s="5">
        <f t="shared" si="0"/>
        <v>2.6987875925051242E-2</v>
      </c>
    </row>
    <row r="30" spans="2:5" x14ac:dyDescent="0.25">
      <c r="B30" s="3">
        <v>44102</v>
      </c>
      <c r="C30" s="4">
        <v>1.20331E-4</v>
      </c>
      <c r="D30">
        <f>'AZ6 RZ1'!C30-'AZ6 RZ4 '!C30</f>
        <v>4.1929999999999919E-6</v>
      </c>
      <c r="E30" s="5">
        <f t="shared" si="0"/>
        <v>3.4845551021764898E-2</v>
      </c>
    </row>
    <row r="31" spans="2:5" x14ac:dyDescent="0.25">
      <c r="B31" s="3">
        <v>44103</v>
      </c>
      <c r="C31" s="4">
        <v>1.8172299999999999E-5</v>
      </c>
      <c r="D31">
        <f>'AZ6 RZ1'!C31-'AZ6 RZ4 '!C31</f>
        <v>2.3081000000000025E-6</v>
      </c>
      <c r="E31" s="5">
        <f t="shared" si="0"/>
        <v>0.12701199077717198</v>
      </c>
    </row>
    <row r="32" spans="2:5" x14ac:dyDescent="0.25">
      <c r="B32" s="3">
        <v>44104</v>
      </c>
      <c r="C32" s="4">
        <v>7.0177099999999996E-5</v>
      </c>
      <c r="D32">
        <f>'AZ6 RZ1'!C32-'AZ6 RZ4 '!C32</f>
        <v>2.6137000000000051E-6</v>
      </c>
      <c r="E32" s="5">
        <f t="shared" si="0"/>
        <v>3.7244343240173866E-2</v>
      </c>
    </row>
    <row r="33" spans="2:5" x14ac:dyDescent="0.25">
      <c r="B33" s="3">
        <v>44106</v>
      </c>
      <c r="C33" s="4">
        <v>2.4845799999999999E-5</v>
      </c>
      <c r="D33">
        <f>'AZ6 RZ1'!C33-'AZ6 RZ4 '!C33</f>
        <v>1.4272000000000022E-6</v>
      </c>
      <c r="E33" s="5">
        <f t="shared" si="0"/>
        <v>5.7442304131885565E-2</v>
      </c>
    </row>
    <row r="34" spans="2:5" x14ac:dyDescent="0.25">
      <c r="B34" s="3">
        <v>45103</v>
      </c>
      <c r="C34" s="4">
        <v>5.6042599999999998E-5</v>
      </c>
      <c r="D34">
        <f>'AZ6 RZ1'!C34-'AZ6 RZ4 '!C34</f>
        <v>-1.0770999999999969E-6</v>
      </c>
      <c r="E34" s="5">
        <f t="shared" si="0"/>
        <v>-1.9219308169142704E-2</v>
      </c>
    </row>
    <row r="35" spans="2:5" x14ac:dyDescent="0.25">
      <c r="B35" s="3">
        <v>45105</v>
      </c>
      <c r="C35" s="4">
        <v>3.5431800000000001E-7</v>
      </c>
      <c r="D35">
        <f>'AZ6 RZ1'!C35-'AZ6 RZ4 '!C35</f>
        <v>7.6649999999999988E-8</v>
      </c>
      <c r="E35" s="5">
        <f t="shared" si="0"/>
        <v>0.21633109240851434</v>
      </c>
    </row>
    <row r="36" spans="2:5" x14ac:dyDescent="0.25">
      <c r="B36" s="3">
        <v>46105</v>
      </c>
      <c r="C36" s="4">
        <v>4.0096799999999999E-5</v>
      </c>
      <c r="D36">
        <f>'AZ6 RZ1'!C36-'AZ6 RZ4 '!C36</f>
        <v>1.1564000000000013E-6</v>
      </c>
      <c r="E36" s="5">
        <f t="shared" si="0"/>
        <v>2.8840206699786552E-2</v>
      </c>
    </row>
    <row r="37" spans="2:5" x14ac:dyDescent="0.25">
      <c r="B37" s="3">
        <v>46106</v>
      </c>
      <c r="C37" s="4">
        <v>1.6929999999999999E-5</v>
      </c>
      <c r="D37">
        <f>'AZ6 RZ1'!C37-'AZ6 RZ4 '!C37</f>
        <v>8.3330000000000098E-7</v>
      </c>
      <c r="E37" s="5">
        <f t="shared" si="0"/>
        <v>4.9220318960425342E-2</v>
      </c>
    </row>
    <row r="38" spans="2:5" x14ac:dyDescent="0.25">
      <c r="B38" s="3">
        <v>46107</v>
      </c>
      <c r="C38" s="4">
        <v>2.1421500000000001E-5</v>
      </c>
      <c r="D38">
        <f>'AZ6 RZ1'!C38-'AZ6 RZ4 '!C38</f>
        <v>9.7239999999999767E-7</v>
      </c>
      <c r="E38" s="5">
        <f t="shared" si="0"/>
        <v>4.5393646570034668E-2</v>
      </c>
    </row>
    <row r="39" spans="2:5" x14ac:dyDescent="0.25">
      <c r="B39" s="3">
        <v>46108</v>
      </c>
      <c r="C39" s="4">
        <v>1.3871599999999999E-5</v>
      </c>
      <c r="D39">
        <f>'AZ6 RZ1'!C39-'AZ6 RZ4 '!C39</f>
        <v>6.7240000000000054E-7</v>
      </c>
      <c r="E39" s="5">
        <f t="shared" si="0"/>
        <v>4.8473139363880202E-2</v>
      </c>
    </row>
    <row r="40" spans="2:5" x14ac:dyDescent="0.25">
      <c r="B40" s="3">
        <v>47109</v>
      </c>
      <c r="C40" s="4">
        <v>7.5978899999999999E-6</v>
      </c>
      <c r="D40">
        <f>'AZ6 RZ1'!C40-'AZ6 RZ4 '!C40</f>
        <v>2.4128000000000085E-7</v>
      </c>
      <c r="E40" s="5">
        <f t="shared" si="0"/>
        <v>3.1756184940819207E-2</v>
      </c>
    </row>
    <row r="41" spans="2:5" x14ac:dyDescent="0.25">
      <c r="B41" s="3">
        <v>52130</v>
      </c>
      <c r="C41" s="4">
        <v>4.6610799999999998E-5</v>
      </c>
      <c r="D41">
        <f>'AZ6 RZ1'!C41-'AZ6 RZ4 '!C41</f>
        <v>1.417200000000004E-6</v>
      </c>
      <c r="E41" s="5">
        <f t="shared" si="0"/>
        <v>3.040497052185339E-2</v>
      </c>
    </row>
    <row r="42" spans="2:5" x14ac:dyDescent="0.25">
      <c r="B42" s="3">
        <v>53129</v>
      </c>
      <c r="C42" s="4">
        <v>1.6861700000000002E-5</v>
      </c>
      <c r="D42">
        <f>'AZ6 RZ1'!C42-'AZ6 RZ4 '!C42</f>
        <v>5.5789999999999681E-7</v>
      </c>
      <c r="E42" s="5">
        <f t="shared" si="0"/>
        <v>3.3086818055118802E-2</v>
      </c>
    </row>
    <row r="43" spans="2:5" x14ac:dyDescent="0.25">
      <c r="B43" s="3">
        <v>54131</v>
      </c>
      <c r="C43" s="4">
        <v>5.4020900000000003E-5</v>
      </c>
      <c r="D43">
        <f>'AZ6 RZ1'!C43-'AZ6 RZ4 '!C43</f>
        <v>-6.4700000000006343E-8</v>
      </c>
      <c r="E43" s="5">
        <f t="shared" si="0"/>
        <v>-1.197684599849435E-3</v>
      </c>
    </row>
    <row r="44" spans="2:5" x14ac:dyDescent="0.25">
      <c r="B44" s="3">
        <v>54132</v>
      </c>
      <c r="C44" s="4">
        <v>1.2671899999999999E-4</v>
      </c>
      <c r="D44">
        <f>'AZ6 RZ1'!C44-'AZ6 RZ4 '!C44</f>
        <v>4.8300000000000198E-6</v>
      </c>
      <c r="E44" s="5">
        <f t="shared" si="0"/>
        <v>3.8115831090838943E-2</v>
      </c>
    </row>
    <row r="45" spans="2:5" x14ac:dyDescent="0.25">
      <c r="B45" s="3">
        <v>54133</v>
      </c>
      <c r="C45" s="4">
        <v>4.4602099999999999E-6</v>
      </c>
      <c r="D45">
        <f>'AZ6 RZ1'!C45-'AZ6 RZ4 '!C45</f>
        <v>7.3973000000000029E-7</v>
      </c>
      <c r="E45" s="5">
        <f t="shared" si="0"/>
        <v>0.16585093526986405</v>
      </c>
    </row>
    <row r="46" spans="2:5" x14ac:dyDescent="0.25">
      <c r="B46" s="3">
        <v>54134</v>
      </c>
      <c r="C46" s="4">
        <v>1.9317E-4</v>
      </c>
      <c r="D46">
        <f>'AZ6 RZ1'!C46-'AZ6 RZ4 '!C46</f>
        <v>5.6880000000000038E-6</v>
      </c>
      <c r="E46" s="5">
        <f t="shared" si="0"/>
        <v>2.9445566081689724E-2</v>
      </c>
    </row>
    <row r="47" spans="2:5" x14ac:dyDescent="0.25">
      <c r="B47" s="3">
        <v>54135</v>
      </c>
      <c r="C47" s="4">
        <v>4.4878099999999999E-8</v>
      </c>
      <c r="D47">
        <f>'AZ6 RZ1'!C47-'AZ6 RZ4 '!C47</f>
        <v>8.0480999999999991E-9</v>
      </c>
      <c r="E47" s="5">
        <f t="shared" si="0"/>
        <v>0.1793324583705638</v>
      </c>
    </row>
    <row r="48" spans="2:5" x14ac:dyDescent="0.25">
      <c r="B48" s="3">
        <v>54136</v>
      </c>
      <c r="C48" s="4">
        <v>2.9859599999999999E-4</v>
      </c>
      <c r="D48">
        <f>'AZ6 RZ1'!C48-'AZ6 RZ4 '!C48</f>
        <v>9.2410000000000018E-6</v>
      </c>
      <c r="E48" s="5">
        <f t="shared" si="0"/>
        <v>3.0948170772548869E-2</v>
      </c>
    </row>
    <row r="49" spans="2:5" x14ac:dyDescent="0.25">
      <c r="B49" s="3">
        <v>55133</v>
      </c>
      <c r="C49" s="4">
        <v>1.40839E-4</v>
      </c>
      <c r="D49">
        <f>'AZ6 RZ1'!C49-'AZ6 RZ4 '!C49</f>
        <v>1.954000000000002E-6</v>
      </c>
      <c r="E49" s="5">
        <f t="shared" si="0"/>
        <v>1.3873997969312492E-2</v>
      </c>
    </row>
    <row r="50" spans="2:5" x14ac:dyDescent="0.25">
      <c r="B50" s="3">
        <v>55134</v>
      </c>
      <c r="C50" s="4">
        <v>1.53637E-5</v>
      </c>
      <c r="D50">
        <f>'AZ6 RZ1'!C50-'AZ6 RZ4 '!C50</f>
        <v>1.9048999999999993E-6</v>
      </c>
      <c r="E50" s="5">
        <f t="shared" si="0"/>
        <v>0.12398706040862548</v>
      </c>
    </row>
    <row r="51" spans="2:5" x14ac:dyDescent="0.25">
      <c r="B51" s="3">
        <v>55135</v>
      </c>
      <c r="C51" s="4">
        <v>2.6928799999999999E-5</v>
      </c>
      <c r="D51">
        <f>'AZ6 RZ1'!C51-'AZ6 RZ4 '!C51</f>
        <v>5.4000000000000161E-7</v>
      </c>
      <c r="E51" s="5">
        <f t="shared" si="0"/>
        <v>2.0052880187754436E-2</v>
      </c>
    </row>
    <row r="52" spans="2:5" x14ac:dyDescent="0.25">
      <c r="B52" s="3">
        <v>55137</v>
      </c>
      <c r="C52" s="4">
        <v>1.52287E-4</v>
      </c>
      <c r="D52">
        <f>'AZ6 RZ1'!C52-'AZ6 RZ4 '!C52</f>
        <v>4.5780000000000094E-6</v>
      </c>
      <c r="E52" s="5">
        <f t="shared" si="0"/>
        <v>3.0061659892177333E-2</v>
      </c>
    </row>
    <row r="53" spans="2:5" x14ac:dyDescent="0.25">
      <c r="B53" s="3">
        <v>56138</v>
      </c>
      <c r="C53" s="4">
        <v>1.62888E-4</v>
      </c>
      <c r="D53">
        <f>'AZ6 RZ1'!C53-'AZ6 RZ4 '!C53</f>
        <v>4.7290000000000016E-6</v>
      </c>
      <c r="E53" s="5">
        <f t="shared" si="0"/>
        <v>2.90322184568538E-2</v>
      </c>
    </row>
    <row r="54" spans="2:5" x14ac:dyDescent="0.25">
      <c r="B54" s="3">
        <v>56140</v>
      </c>
      <c r="C54" s="4">
        <v>9.4882800000000006E-6</v>
      </c>
      <c r="D54">
        <f>'AZ6 RZ1'!C54-'AZ6 RZ4 '!C54</f>
        <v>1.530219999999999E-6</v>
      </c>
      <c r="E54" s="5">
        <f t="shared" si="0"/>
        <v>0.16127475158827512</v>
      </c>
    </row>
    <row r="55" spans="2:5" x14ac:dyDescent="0.25">
      <c r="B55" s="3">
        <v>57139</v>
      </c>
      <c r="C55" s="4">
        <v>1.5202099999999999E-4</v>
      </c>
      <c r="D55">
        <f>'AZ6 RZ1'!C55-'AZ6 RZ4 '!C55</f>
        <v>4.3440000000000113E-6</v>
      </c>
      <c r="E55" s="5">
        <f t="shared" si="0"/>
        <v>2.8574999506647186E-2</v>
      </c>
    </row>
    <row r="56" spans="2:5" x14ac:dyDescent="0.25">
      <c r="B56" s="3">
        <v>58140</v>
      </c>
      <c r="C56" s="4">
        <v>1.3884800000000001E-4</v>
      </c>
      <c r="D56">
        <f>'AZ6 RZ1'!C56-'AZ6 RZ4 '!C56</f>
        <v>2.6169999999999785E-6</v>
      </c>
      <c r="E56" s="5">
        <f t="shared" si="0"/>
        <v>1.8847948836137204E-2</v>
      </c>
    </row>
    <row r="57" spans="2:5" x14ac:dyDescent="0.25">
      <c r="B57" s="3">
        <v>58141</v>
      </c>
      <c r="C57" s="4">
        <v>2.0868699999999999E-5</v>
      </c>
      <c r="D57">
        <f>'AZ6 RZ1'!C57-'AZ6 RZ4 '!C57</f>
        <v>2.4909000000000002E-6</v>
      </c>
      <c r="E57" s="5">
        <f t="shared" si="0"/>
        <v>0.11936057349044264</v>
      </c>
    </row>
    <row r="58" spans="2:5" x14ac:dyDescent="0.25">
      <c r="B58" s="3">
        <v>58142</v>
      </c>
      <c r="C58" s="4">
        <v>1.40137E-4</v>
      </c>
      <c r="D58">
        <f>'AZ6 RZ1'!C58-'AZ6 RZ4 '!C58</f>
        <v>4.1119999999999904E-6</v>
      </c>
      <c r="E58" s="5">
        <f t="shared" si="0"/>
        <v>2.9342714629255588E-2</v>
      </c>
    </row>
    <row r="59" spans="2:5" x14ac:dyDescent="0.25">
      <c r="B59" s="3">
        <v>58144</v>
      </c>
      <c r="C59" s="4">
        <v>8.3290599999999998E-5</v>
      </c>
      <c r="D59">
        <f>'AZ6 RZ1'!C59-'AZ6 RZ4 '!C59</f>
        <v>3.3373000000000061E-6</v>
      </c>
      <c r="E59" s="5">
        <f t="shared" si="0"/>
        <v>4.0068146945753856E-2</v>
      </c>
    </row>
    <row r="60" spans="2:5" x14ac:dyDescent="0.25">
      <c r="B60" s="3">
        <v>59141</v>
      </c>
      <c r="C60" s="4">
        <v>1.15436E-4</v>
      </c>
      <c r="D60">
        <f>'AZ6 RZ1'!C60-'AZ6 RZ4 '!C60</f>
        <v>1.2620000000000025E-6</v>
      </c>
      <c r="E60" s="5">
        <f t="shared" si="0"/>
        <v>1.0932464742368087E-2</v>
      </c>
    </row>
    <row r="61" spans="2:5" x14ac:dyDescent="0.25">
      <c r="B61" s="3">
        <v>59143</v>
      </c>
      <c r="C61" s="4">
        <v>9.2368799999999999E-6</v>
      </c>
      <c r="D61">
        <f>'AZ6 RZ1'!C61-'AZ6 RZ4 '!C61</f>
        <v>1.4301199999999998E-6</v>
      </c>
      <c r="E61" s="5">
        <f t="shared" si="0"/>
        <v>0.15482717107941207</v>
      </c>
    </row>
    <row r="62" spans="2:5" x14ac:dyDescent="0.25">
      <c r="B62" s="3">
        <v>60143</v>
      </c>
      <c r="C62" s="4">
        <v>9.9725599999999999E-5</v>
      </c>
      <c r="D62">
        <f>'AZ6 RZ1'!C62-'AZ6 RZ4 '!C62</f>
        <v>1.2384000000000049E-6</v>
      </c>
      <c r="E62" s="5">
        <f t="shared" si="0"/>
        <v>1.2418075198344307E-2</v>
      </c>
    </row>
    <row r="63" spans="2:5" x14ac:dyDescent="0.25">
      <c r="B63" s="3">
        <v>60144</v>
      </c>
      <c r="C63" s="4">
        <v>7.0171200000000003E-5</v>
      </c>
      <c r="D63">
        <f>'AZ6 RZ1'!C63-'AZ6 RZ4 '!C63</f>
        <v>1.2275000000000014E-6</v>
      </c>
      <c r="E63" s="5">
        <f t="shared" si="0"/>
        <v>1.7492931573067031E-2</v>
      </c>
    </row>
    <row r="64" spans="2:5" x14ac:dyDescent="0.25">
      <c r="B64" s="3">
        <v>60145</v>
      </c>
      <c r="C64" s="4">
        <v>8.2981599999999998E-5</v>
      </c>
      <c r="D64">
        <f>'AZ6 RZ1'!C64-'AZ6 RZ4 '!C64</f>
        <v>1.8058000000000023E-6</v>
      </c>
      <c r="E64" s="5">
        <f t="shared" si="0"/>
        <v>2.1761450731246471E-2</v>
      </c>
    </row>
    <row r="65" spans="1:5" x14ac:dyDescent="0.25">
      <c r="B65" s="3">
        <v>60146</v>
      </c>
      <c r="C65" s="4">
        <v>7.9516800000000004E-5</v>
      </c>
      <c r="D65">
        <f>'AZ6 RZ1'!C65-'AZ6 RZ4 '!C65</f>
        <v>2.8176999999999917E-6</v>
      </c>
      <c r="E65" s="5">
        <f t="shared" si="0"/>
        <v>3.5435279085677389E-2</v>
      </c>
    </row>
    <row r="66" spans="1:5" x14ac:dyDescent="0.25">
      <c r="B66" s="3">
        <v>60147</v>
      </c>
      <c r="C66" s="4">
        <v>2.9124700000000001E-6</v>
      </c>
      <c r="D66">
        <f>'AZ6 RZ1'!C66-'AZ6 RZ4 '!C66</f>
        <v>4.5324E-7</v>
      </c>
      <c r="E66" s="5">
        <f t="shared" si="0"/>
        <v>0.15562048707797849</v>
      </c>
    </row>
    <row r="67" spans="1:5" x14ac:dyDescent="0.25">
      <c r="B67" s="3">
        <v>60148</v>
      </c>
      <c r="C67" s="4">
        <v>4.2775399999999997E-5</v>
      </c>
      <c r="D67">
        <f>'AZ6 RZ1'!C67-'AZ6 RZ4 '!C67</f>
        <v>1.3115000000000026E-6</v>
      </c>
      <c r="E67" s="5">
        <f t="shared" si="0"/>
        <v>3.0660145784726797E-2</v>
      </c>
    </row>
    <row r="68" spans="1:5" x14ac:dyDescent="0.25">
      <c r="B68" s="3">
        <v>60150</v>
      </c>
      <c r="C68" s="4">
        <v>1.7822999999999999E-5</v>
      </c>
      <c r="D68">
        <f>'AZ6 RZ1'!C68-'AZ6 RZ4 '!C68</f>
        <v>5.594000000000001E-7</v>
      </c>
      <c r="E68" s="5">
        <f t="shared" si="0"/>
        <v>3.1386410817483036E-2</v>
      </c>
    </row>
    <row r="69" spans="1:5" x14ac:dyDescent="0.25">
      <c r="B69" s="3">
        <v>61147</v>
      </c>
      <c r="C69" s="4">
        <v>2.60672E-5</v>
      </c>
      <c r="D69">
        <f>'AZ6 RZ1'!C69-'AZ6 RZ4 '!C69</f>
        <v>-7.1770000000000162E-7</v>
      </c>
      <c r="E69" s="5">
        <f t="shared" ref="E69:E78" si="1">D69/C69</f>
        <v>-2.7532684753253191E-2</v>
      </c>
    </row>
    <row r="70" spans="1:5" x14ac:dyDescent="0.25">
      <c r="B70" s="3">
        <v>61149</v>
      </c>
      <c r="C70" s="4">
        <v>3.0056100000000001E-7</v>
      </c>
      <c r="D70">
        <f>'AZ6 RZ1'!C70-'AZ6 RZ4 '!C70</f>
        <v>4.9747000000000002E-8</v>
      </c>
      <c r="E70" s="5">
        <f t="shared" si="1"/>
        <v>0.16551382248528584</v>
      </c>
    </row>
    <row r="71" spans="1:5" x14ac:dyDescent="0.25">
      <c r="B71" s="3">
        <v>62147</v>
      </c>
      <c r="C71" s="4">
        <v>3.2462700000000002E-6</v>
      </c>
      <c r="D71">
        <f>'AZ6 RZ1'!C71-'AZ6 RZ4 '!C71</f>
        <v>-1.0599000000000006E-7</v>
      </c>
      <c r="E71" s="5">
        <f t="shared" si="1"/>
        <v>-3.2649779593194671E-2</v>
      </c>
    </row>
    <row r="72" spans="1:5" x14ac:dyDescent="0.25">
      <c r="B72" s="3">
        <v>62149</v>
      </c>
      <c r="C72" s="4">
        <v>2.7860400000000002E-7</v>
      </c>
      <c r="D72">
        <f>'AZ6 RZ1'!C72-'AZ6 RZ4 '!C72</f>
        <v>4.5734999999999953E-8</v>
      </c>
      <c r="E72" s="5">
        <f t="shared" si="1"/>
        <v>0.16415772925011826</v>
      </c>
    </row>
    <row r="73" spans="1:5" x14ac:dyDescent="0.25">
      <c r="B73" s="3">
        <v>62150</v>
      </c>
      <c r="C73" s="4">
        <v>2.3782600000000002E-5</v>
      </c>
      <c r="D73">
        <f>'AZ6 RZ1'!C73-'AZ6 RZ4 '!C73</f>
        <v>5.004999999999997E-7</v>
      </c>
      <c r="E73" s="5">
        <f t="shared" si="1"/>
        <v>2.1044797456964321E-2</v>
      </c>
    </row>
    <row r="74" spans="1:5" x14ac:dyDescent="0.25">
      <c r="B74" s="3">
        <v>62151</v>
      </c>
      <c r="C74" s="4">
        <v>1.68567E-6</v>
      </c>
      <c r="D74">
        <f>'AZ6 RZ1'!C74-'AZ6 RZ4 '!C74</f>
        <v>1.8060000000000002E-7</v>
      </c>
      <c r="E74" s="5">
        <f t="shared" si="1"/>
        <v>0.1071384078734272</v>
      </c>
    </row>
    <row r="75" spans="1:5" x14ac:dyDescent="0.25">
      <c r="B75" s="3">
        <v>62152</v>
      </c>
      <c r="C75" s="4">
        <v>1.10256E-5</v>
      </c>
      <c r="D75">
        <f>'AZ6 RZ1'!C75-'AZ6 RZ4 '!C75</f>
        <v>-3.6829999999999951E-7</v>
      </c>
      <c r="E75" s="5">
        <f t="shared" si="1"/>
        <v>-3.3404077782614963E-2</v>
      </c>
    </row>
    <row r="76" spans="1:5" x14ac:dyDescent="0.25">
      <c r="B76" s="3">
        <v>63153</v>
      </c>
      <c r="C76" s="4">
        <v>1.02505E-5</v>
      </c>
      <c r="D76">
        <f>'AZ6 RZ1'!C76-'AZ6 RZ4 '!C76</f>
        <v>5.664000000000002E-7</v>
      </c>
      <c r="E76" s="5">
        <f t="shared" si="1"/>
        <v>5.525584117847912E-2</v>
      </c>
    </row>
    <row r="77" spans="1:5" x14ac:dyDescent="0.25">
      <c r="B77" s="3">
        <v>63154</v>
      </c>
      <c r="C77" s="4">
        <v>1.6243099999999999E-6</v>
      </c>
      <c r="D77">
        <f>'AZ6 RZ1'!C77-'AZ6 RZ4 '!C77</f>
        <v>3.109399999999999E-7</v>
      </c>
      <c r="E77" s="5">
        <f t="shared" si="1"/>
        <v>0.19142897599596131</v>
      </c>
    </row>
    <row r="78" spans="1:5" x14ac:dyDescent="0.25">
      <c r="B78" s="3">
        <v>63155</v>
      </c>
      <c r="C78" s="4">
        <v>5.94443E-7</v>
      </c>
      <c r="D78">
        <f>'AZ6 RZ1'!C78-'AZ6 RZ4 '!C78</f>
        <v>-1.8322999999999998E-8</v>
      </c>
      <c r="E78" s="5">
        <f t="shared" si="1"/>
        <v>-3.0823813216742393E-2</v>
      </c>
    </row>
    <row r="79" spans="1:5" x14ac:dyDescent="0.25">
      <c r="A79" t="s">
        <v>7</v>
      </c>
      <c r="B79" s="3">
        <v>64157</v>
      </c>
      <c r="C79" s="4">
        <v>1.0735200000000001E-8</v>
      </c>
      <c r="D79">
        <f>'AZ6 RZ1'!C79-'AZ6 RZ4 '!C79</f>
        <v>6.8734999999999986E-9</v>
      </c>
      <c r="E79" s="5">
        <f t="shared" ref="E79" si="2">D79/C79</f>
        <v>0.6402768462627616</v>
      </c>
    </row>
    <row r="80" spans="1:5" x14ac:dyDescent="0.25">
      <c r="B80" s="3">
        <v>92235</v>
      </c>
      <c r="C80" s="4">
        <v>2.2964600000000002E-3</v>
      </c>
      <c r="D80" s="6">
        <f>'AZ6 RZ1'!C80-'AZ6 RZ4 '!C80</f>
        <v>-6.0950000000000153E-5</v>
      </c>
      <c r="E80" s="5">
        <f>D80/C80</f>
        <v>-2.6540849829738009E-2</v>
      </c>
    </row>
    <row r="81" spans="1:5" x14ac:dyDescent="0.25">
      <c r="B81" s="3">
        <v>92236</v>
      </c>
      <c r="C81" s="4">
        <v>4.2170599999999999E-4</v>
      </c>
      <c r="D81" s="6">
        <f>'AZ6 RZ1'!C81-'AZ6 RZ4 '!C81</f>
        <v>1.1877999999999997E-5</v>
      </c>
      <c r="E81" s="5">
        <f t="shared" ref="E81:E92" si="3">D81/C81</f>
        <v>2.8166542567570767E-2</v>
      </c>
    </row>
    <row r="82" spans="1:5" x14ac:dyDescent="0.25">
      <c r="B82" s="3">
        <v>92237</v>
      </c>
      <c r="C82" s="4">
        <v>1.74747E-6</v>
      </c>
      <c r="D82" s="6">
        <f>'AZ6 RZ1'!C82-'AZ6 RZ4 '!C82</f>
        <v>1.0990000000000002E-6</v>
      </c>
      <c r="E82" s="5">
        <f t="shared" si="3"/>
        <v>0.62890922304817831</v>
      </c>
    </row>
    <row r="83" spans="1:5" x14ac:dyDescent="0.25">
      <c r="A83" t="s">
        <v>4</v>
      </c>
      <c r="B83" s="3">
        <v>92238</v>
      </c>
      <c r="C83" s="4">
        <v>1.8016600000000001E-2</v>
      </c>
      <c r="D83" s="6">
        <f>'AZ6 RZ1'!C83-'AZ6 RZ4 '!C83</f>
        <v>-8.1100000000000616E-5</v>
      </c>
      <c r="E83" s="5">
        <f t="shared" si="3"/>
        <v>-4.5014042605153364E-3</v>
      </c>
    </row>
    <row r="84" spans="1:5" x14ac:dyDescent="0.25">
      <c r="B84" s="3">
        <v>93237</v>
      </c>
      <c r="C84" s="4">
        <v>2.8476500000000001E-5</v>
      </c>
      <c r="D84" s="6">
        <f>'AZ6 RZ1'!C84-'AZ6 RZ4 '!C84</f>
        <v>2.3159999999999995E-6</v>
      </c>
      <c r="E84" s="5">
        <f t="shared" si="3"/>
        <v>8.1330219654803068E-2</v>
      </c>
    </row>
    <row r="85" spans="1:5" x14ac:dyDescent="0.25">
      <c r="B85" s="3">
        <v>93239</v>
      </c>
      <c r="C85" s="4">
        <v>1.0866899999999999E-5</v>
      </c>
      <c r="D85" s="6">
        <f>'AZ6 RZ1'!C85-'AZ6 RZ4 '!C85</f>
        <v>6.3225999999999994E-6</v>
      </c>
      <c r="E85" s="5">
        <f t="shared" si="3"/>
        <v>0.5818218627207391</v>
      </c>
    </row>
    <row r="86" spans="1:5" x14ac:dyDescent="0.25">
      <c r="B86" s="3">
        <v>94238</v>
      </c>
      <c r="C86" s="4">
        <v>7.4759599999999998E-6</v>
      </c>
      <c r="D86" s="6">
        <f>'AZ6 RZ1'!C86-'AZ6 RZ4 '!C86</f>
        <v>8.2390999999999971E-7</v>
      </c>
      <c r="E86" s="5">
        <f t="shared" si="3"/>
        <v>0.11020791978555258</v>
      </c>
    </row>
    <row r="87" spans="1:5" x14ac:dyDescent="0.25">
      <c r="B87" s="3">
        <v>94239</v>
      </c>
      <c r="C87" s="4">
        <v>2.1977300000000001E-4</v>
      </c>
      <c r="D87" s="6">
        <f>'AZ6 RZ1'!C87-'AZ6 RZ4 '!C87</f>
        <v>3.8773999999999965E-5</v>
      </c>
      <c r="E87" s="5">
        <f t="shared" si="3"/>
        <v>0.17642749564323171</v>
      </c>
    </row>
    <row r="88" spans="1:5" x14ac:dyDescent="0.25">
      <c r="B88" s="3">
        <v>94240</v>
      </c>
      <c r="C88" s="4">
        <v>8.3109799999999995E-5</v>
      </c>
      <c r="D88" s="6">
        <f>'AZ6 RZ1'!C88-'AZ6 RZ4 '!C88</f>
        <v>-4.5597999999999966E-6</v>
      </c>
      <c r="E88" s="5">
        <f t="shared" si="3"/>
        <v>-5.4864769257055086E-2</v>
      </c>
    </row>
    <row r="89" spans="1:5" x14ac:dyDescent="0.25">
      <c r="B89" s="3">
        <v>94241</v>
      </c>
      <c r="C89" s="4">
        <v>6.7129899999999996E-5</v>
      </c>
      <c r="D89" s="6">
        <f>'AZ6 RZ1'!C89-'AZ6 RZ4 '!C89</f>
        <v>1.09276E-5</v>
      </c>
      <c r="E89" s="5">
        <f t="shared" si="3"/>
        <v>0.16278290299851483</v>
      </c>
    </row>
    <row r="90" spans="1:5" x14ac:dyDescent="0.25">
      <c r="B90" s="3">
        <v>94242</v>
      </c>
      <c r="C90" s="4">
        <v>2.7558800000000001E-5</v>
      </c>
      <c r="D90" s="6">
        <f>'AZ6 RZ1'!C90-'AZ6 RZ4 '!C90</f>
        <v>1.0626999999999992E-6</v>
      </c>
      <c r="E90" s="5">
        <f t="shared" si="3"/>
        <v>3.8561185537831805E-2</v>
      </c>
    </row>
    <row r="91" spans="1:5" x14ac:dyDescent="0.25">
      <c r="B91" s="3">
        <v>95241</v>
      </c>
      <c r="C91" s="4">
        <v>7.2805200000000001E-7</v>
      </c>
      <c r="D91" s="6">
        <f>'AZ6 RZ1'!C91-'AZ6 RZ4 '!C91</f>
        <v>-3.0279000000000003E-8</v>
      </c>
      <c r="E91" s="5">
        <f t="shared" si="3"/>
        <v>-4.1589062319724417E-2</v>
      </c>
    </row>
    <row r="92" spans="1:5" x14ac:dyDescent="0.25">
      <c r="B92" s="3">
        <v>95243</v>
      </c>
      <c r="C92" s="4">
        <v>4.7768900000000001E-6</v>
      </c>
      <c r="D92" s="6">
        <f>'AZ6 RZ1'!C92-'AZ6 RZ4 '!C92</f>
        <v>7.6273999999999975E-7</v>
      </c>
      <c r="E92" s="5">
        <f t="shared" si="3"/>
        <v>0.15967292527146318</v>
      </c>
    </row>
    <row r="93" spans="1:5" x14ac:dyDescent="0.25">
      <c r="D93" s="7" t="s">
        <v>8</v>
      </c>
      <c r="E93" s="8">
        <f>AVERAGE(E4:E92)</f>
        <v>6.898047258259507E-2</v>
      </c>
    </row>
    <row r="94" spans="1:5" x14ac:dyDescent="0.25">
      <c r="D94" s="7" t="s">
        <v>9</v>
      </c>
      <c r="E94" s="9">
        <f>STDEVA(E4:E92)</f>
        <v>0.11883823902428291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E6DB-0CC9-4536-B9B7-F1605E81C41F}">
  <dimension ref="A3:E94"/>
  <sheetViews>
    <sheetView topLeftCell="A59" workbookViewId="0">
      <selection activeCell="D93" sqref="D93:E94"/>
    </sheetView>
  </sheetViews>
  <sheetFormatPr baseColWidth="10" defaultColWidth="8.85546875" defaultRowHeight="15" x14ac:dyDescent="0.25"/>
  <cols>
    <col min="2" max="2" width="15" bestFit="1" customWidth="1"/>
    <col min="3" max="3" width="26.85546875" bestFit="1" customWidth="1"/>
    <col min="4" max="4" width="12" bestFit="1" customWidth="1"/>
    <col min="5" max="5" width="11.85546875" bestFit="1" customWidth="1"/>
  </cols>
  <sheetData>
    <row r="3" spans="2:5" ht="30" x14ac:dyDescent="0.25">
      <c r="B3" s="2" t="s">
        <v>2</v>
      </c>
      <c r="C3" s="2" t="s">
        <v>3</v>
      </c>
      <c r="D3" t="s">
        <v>5</v>
      </c>
      <c r="E3" t="s">
        <v>6</v>
      </c>
    </row>
    <row r="4" spans="2:5" x14ac:dyDescent="0.25">
      <c r="B4" s="3">
        <v>6012</v>
      </c>
      <c r="C4" s="4">
        <v>1.1821099999999999E-2</v>
      </c>
      <c r="D4">
        <f>'AZ6 RZ1'!C4-'AZ10 RZ1'!C4</f>
        <v>0</v>
      </c>
      <c r="E4" s="5">
        <f>D4/C4</f>
        <v>0</v>
      </c>
    </row>
    <row r="5" spans="2:5" x14ac:dyDescent="0.25">
      <c r="B5" s="3">
        <v>8016</v>
      </c>
      <c r="C5" s="4">
        <v>3.5463399999999999E-2</v>
      </c>
      <c r="D5">
        <f>'AZ6 RZ1'!C5-'AZ10 RZ1'!C5</f>
        <v>0</v>
      </c>
      <c r="E5" s="5">
        <f t="shared" ref="E5:E68" si="0">D5/C5</f>
        <v>0</v>
      </c>
    </row>
    <row r="6" spans="2:5" x14ac:dyDescent="0.25">
      <c r="B6" s="3">
        <v>36083</v>
      </c>
      <c r="C6" s="4">
        <v>1.0642099999999999E-5</v>
      </c>
      <c r="D6">
        <f>'AZ6 RZ1'!C6-'AZ10 RZ1'!C6</f>
        <v>-5.5799999999999872E-7</v>
      </c>
      <c r="E6" s="5">
        <f t="shared" si="0"/>
        <v>-5.2433260352749811E-2</v>
      </c>
    </row>
    <row r="7" spans="2:5" x14ac:dyDescent="0.25">
      <c r="B7" s="3">
        <v>36084</v>
      </c>
      <c r="C7" s="4">
        <v>2.5537800000000001E-5</v>
      </c>
      <c r="D7">
        <f>'AZ6 RZ1'!C7-'AZ10 RZ1'!C7</f>
        <v>-1.6379E-6</v>
      </c>
      <c r="E7" s="5">
        <f t="shared" si="0"/>
        <v>-6.4136299916202649E-2</v>
      </c>
    </row>
    <row r="8" spans="2:5" x14ac:dyDescent="0.25">
      <c r="B8" s="3">
        <v>36086</v>
      </c>
      <c r="C8" s="4">
        <v>4.3037600000000003E-5</v>
      </c>
      <c r="D8">
        <f>'AZ6 RZ1'!C8-'AZ10 RZ1'!C8</f>
        <v>-2.5704000000000051E-6</v>
      </c>
      <c r="E8" s="5">
        <f t="shared" si="0"/>
        <v>-5.9724519954644423E-2</v>
      </c>
    </row>
    <row r="9" spans="2:5" x14ac:dyDescent="0.25">
      <c r="B9" s="3">
        <v>37085</v>
      </c>
      <c r="C9" s="4">
        <v>2.4694000000000001E-5</v>
      </c>
      <c r="D9">
        <f>'AZ6 RZ1'!C9-'AZ10 RZ1'!C9</f>
        <v>-1.4953000000000024E-6</v>
      </c>
      <c r="E9" s="5">
        <f t="shared" si="0"/>
        <v>-6.0553170810723346E-2</v>
      </c>
    </row>
    <row r="10" spans="2:5" x14ac:dyDescent="0.25">
      <c r="B10" s="3">
        <v>37087</v>
      </c>
      <c r="C10" s="4">
        <v>5.9859399999999998E-5</v>
      </c>
      <c r="D10">
        <f>'AZ6 RZ1'!C10-'AZ10 RZ1'!C10</f>
        <v>-3.5606000000000011E-6</v>
      </c>
      <c r="E10" s="5">
        <f t="shared" si="0"/>
        <v>-5.9482721176623912E-2</v>
      </c>
    </row>
    <row r="11" spans="2:5" x14ac:dyDescent="0.25">
      <c r="B11" s="3">
        <v>38088</v>
      </c>
      <c r="C11" s="4">
        <v>8.1469800000000004E-5</v>
      </c>
      <c r="D11">
        <f>'AZ6 RZ1'!C11-'AZ10 RZ1'!C11</f>
        <v>-4.8585000000000078E-6</v>
      </c>
      <c r="E11" s="5">
        <f t="shared" si="0"/>
        <v>-5.9635595030305799E-2</v>
      </c>
    </row>
    <row r="12" spans="2:5" x14ac:dyDescent="0.25">
      <c r="B12" s="3">
        <v>38089</v>
      </c>
      <c r="C12" s="4">
        <v>2.1661399999999999E-5</v>
      </c>
      <c r="D12">
        <f>'AZ6 RZ1'!C12-'AZ10 RZ1'!C12</f>
        <v>1.6738000000000008E-6</v>
      </c>
      <c r="E12" s="5">
        <f t="shared" si="0"/>
        <v>7.7271090511232002E-2</v>
      </c>
    </row>
    <row r="13" spans="2:5" x14ac:dyDescent="0.25">
      <c r="B13" s="3">
        <v>38090</v>
      </c>
      <c r="C13" s="4">
        <v>1.30679E-4</v>
      </c>
      <c r="D13">
        <f>'AZ6 RZ1'!C13-'AZ10 RZ1'!C13</f>
        <v>-7.6210000000000004E-6</v>
      </c>
      <c r="E13" s="5">
        <f t="shared" si="0"/>
        <v>-5.8318475041896557E-2</v>
      </c>
    </row>
    <row r="14" spans="2:5" x14ac:dyDescent="0.25">
      <c r="B14" s="3">
        <v>39089</v>
      </c>
      <c r="C14" s="4">
        <v>8.6665599999999999E-5</v>
      </c>
      <c r="D14">
        <f>'AZ6 RZ1'!C14-'AZ10 RZ1'!C14</f>
        <v>-8.0808000000000057E-6</v>
      </c>
      <c r="E14" s="5">
        <f t="shared" si="0"/>
        <v>-9.3241147583354944E-2</v>
      </c>
    </row>
    <row r="15" spans="2:5" x14ac:dyDescent="0.25">
      <c r="B15" s="3">
        <v>39091</v>
      </c>
      <c r="C15" s="4">
        <v>3.1195799999999997E-5</v>
      </c>
      <c r="D15">
        <f>'AZ6 RZ1'!C15-'AZ10 RZ1'!C15</f>
        <v>1.7385000000000038E-6</v>
      </c>
      <c r="E15" s="5">
        <f t="shared" si="0"/>
        <v>5.5728655780585973E-2</v>
      </c>
    </row>
    <row r="16" spans="2:5" x14ac:dyDescent="0.25">
      <c r="B16" s="3">
        <v>40091</v>
      </c>
      <c r="C16" s="4">
        <v>1.0384599999999999E-4</v>
      </c>
      <c r="D16">
        <f>'AZ6 RZ1'!C16-'AZ10 RZ1'!C16</f>
        <v>-9.9221999999999912E-6</v>
      </c>
      <c r="E16" s="5">
        <f t="shared" si="0"/>
        <v>-9.5547252662596463E-2</v>
      </c>
    </row>
    <row r="17" spans="2:5" x14ac:dyDescent="0.25">
      <c r="B17" s="3">
        <v>40092</v>
      </c>
      <c r="C17" s="4">
        <v>1.4324499999999999E-4</v>
      </c>
      <c r="D17">
        <f>'AZ6 RZ1'!C17-'AZ10 RZ1'!C17</f>
        <v>-8.7689999999999968E-6</v>
      </c>
      <c r="E17" s="5">
        <f t="shared" si="0"/>
        <v>-6.1216796397780007E-2</v>
      </c>
    </row>
    <row r="18" spans="2:5" x14ac:dyDescent="0.25">
      <c r="B18" s="3">
        <v>40093</v>
      </c>
      <c r="C18" s="4">
        <v>1.5301799999999999E-4</v>
      </c>
      <c r="D18">
        <f>'AZ6 RZ1'!C18-'AZ10 RZ1'!C18</f>
        <v>-9.4919999999999965E-6</v>
      </c>
      <c r="E18" s="5">
        <f t="shared" si="0"/>
        <v>-6.2031917813590541E-2</v>
      </c>
    </row>
    <row r="19" spans="2:5" x14ac:dyDescent="0.25">
      <c r="B19" s="3">
        <v>40094</v>
      </c>
      <c r="C19" s="4">
        <v>1.61514E-4</v>
      </c>
      <c r="D19">
        <f>'AZ6 RZ1'!C19-'AZ10 RZ1'!C19</f>
        <v>-1.0088999999999991E-5</v>
      </c>
      <c r="E19" s="5">
        <f t="shared" si="0"/>
        <v>-6.2465173297670734E-2</v>
      </c>
    </row>
    <row r="20" spans="2:5" x14ac:dyDescent="0.25">
      <c r="B20" s="3">
        <v>40095</v>
      </c>
      <c r="C20" s="4">
        <v>4.1705500000000002E-5</v>
      </c>
      <c r="D20">
        <f>'AZ6 RZ1'!C20-'AZ10 RZ1'!C20</f>
        <v>1.7998999999999961E-6</v>
      </c>
      <c r="E20" s="5">
        <f t="shared" si="0"/>
        <v>4.3157377324333626E-2</v>
      </c>
    </row>
    <row r="21" spans="2:5" x14ac:dyDescent="0.25">
      <c r="B21" s="3">
        <v>40096</v>
      </c>
      <c r="C21" s="4">
        <v>1.6142000000000001E-4</v>
      </c>
      <c r="D21">
        <f>'AZ6 RZ1'!C21-'AZ10 RZ1'!C21</f>
        <v>-1.0184000000000023E-5</v>
      </c>
      <c r="E21" s="5">
        <f t="shared" si="0"/>
        <v>-6.3090075579234434E-2</v>
      </c>
    </row>
    <row r="22" spans="2:5" x14ac:dyDescent="0.25">
      <c r="B22" s="3">
        <v>41095</v>
      </c>
      <c r="C22" s="4">
        <v>2.14811E-5</v>
      </c>
      <c r="D22">
        <f>'AZ6 RZ1'!C22-'AZ10 RZ1'!C22</f>
        <v>-1.2642000000000005E-6</v>
      </c>
      <c r="E22" s="5">
        <f t="shared" si="0"/>
        <v>-5.8851734780807338E-2</v>
      </c>
    </row>
    <row r="23" spans="2:5" x14ac:dyDescent="0.25">
      <c r="B23" s="3">
        <v>42095</v>
      </c>
      <c r="C23" s="4">
        <v>9.5811599999999996E-5</v>
      </c>
      <c r="D23">
        <f>'AZ6 RZ1'!C23-'AZ10 RZ1'!C23</f>
        <v>-1.0212799999999991E-5</v>
      </c>
      <c r="E23" s="5">
        <f t="shared" si="0"/>
        <v>-0.1065925211561021</v>
      </c>
    </row>
    <row r="24" spans="2:5" x14ac:dyDescent="0.25">
      <c r="B24" s="3">
        <v>42097</v>
      </c>
      <c r="C24" s="4">
        <v>1.16227E-4</v>
      </c>
      <c r="D24">
        <f>'AZ6 RZ1'!C24-'AZ10 RZ1'!C24</f>
        <v>-7.6139999999999986E-6</v>
      </c>
      <c r="E24" s="5">
        <f t="shared" si="0"/>
        <v>-6.550973525944917E-2</v>
      </c>
    </row>
    <row r="25" spans="2:5" x14ac:dyDescent="0.25">
      <c r="B25" s="3">
        <v>42098</v>
      </c>
      <c r="C25" s="4">
        <v>1.5551599999999999E-4</v>
      </c>
      <c r="D25">
        <f>'AZ6 RZ1'!C25-'AZ10 RZ1'!C25</f>
        <v>-1.0129999999999986E-5</v>
      </c>
      <c r="E25" s="5">
        <f t="shared" si="0"/>
        <v>-6.5137992232310413E-2</v>
      </c>
    </row>
    <row r="26" spans="2:5" x14ac:dyDescent="0.25">
      <c r="B26" s="3">
        <v>42100</v>
      </c>
      <c r="C26" s="4">
        <v>1.7225500000000001E-4</v>
      </c>
      <c r="D26">
        <f>'AZ6 RZ1'!C26-'AZ10 RZ1'!C26</f>
        <v>-1.1286E-5</v>
      </c>
      <c r="E26" s="5">
        <f t="shared" si="0"/>
        <v>-6.5519143130823479E-2</v>
      </c>
    </row>
    <row r="27" spans="2:5" x14ac:dyDescent="0.25">
      <c r="B27" s="3">
        <v>43099</v>
      </c>
      <c r="C27" s="4">
        <v>1.4553299999999999E-4</v>
      </c>
      <c r="D27">
        <f>'AZ6 RZ1'!C27-'AZ10 RZ1'!C27</f>
        <v>-9.7949999999999969E-6</v>
      </c>
      <c r="E27" s="5">
        <f t="shared" si="0"/>
        <v>-6.7304322730926985E-2</v>
      </c>
    </row>
    <row r="28" spans="2:5" x14ac:dyDescent="0.25">
      <c r="B28" s="3">
        <v>44100</v>
      </c>
      <c r="C28" s="4">
        <v>1.84002E-5</v>
      </c>
      <c r="D28">
        <f>'AZ6 RZ1'!C28-'AZ10 RZ1'!C28</f>
        <v>-2.0595999999999997E-6</v>
      </c>
      <c r="E28" s="5">
        <f t="shared" si="0"/>
        <v>-0.11193356593950064</v>
      </c>
    </row>
    <row r="29" spans="2:5" x14ac:dyDescent="0.25">
      <c r="B29" s="3">
        <v>44101</v>
      </c>
      <c r="C29" s="4">
        <v>1.3944900000000001E-4</v>
      </c>
      <c r="D29">
        <f>'AZ6 RZ1'!C29-'AZ10 RZ1'!C29</f>
        <v>-9.0010000000000177E-6</v>
      </c>
      <c r="E29" s="5">
        <f t="shared" si="0"/>
        <v>-6.4546895280712072E-2</v>
      </c>
    </row>
    <row r="30" spans="2:5" x14ac:dyDescent="0.25">
      <c r="B30" s="3">
        <v>44102</v>
      </c>
      <c r="C30" s="4">
        <v>1.33967E-4</v>
      </c>
      <c r="D30">
        <f>'AZ6 RZ1'!C30-'AZ10 RZ1'!C30</f>
        <v>-9.4430000000000111E-6</v>
      </c>
      <c r="E30" s="5">
        <f t="shared" si="0"/>
        <v>-7.048750811767085E-2</v>
      </c>
    </row>
    <row r="31" spans="2:5" x14ac:dyDescent="0.25">
      <c r="B31" s="3">
        <v>44103</v>
      </c>
      <c r="C31" s="4">
        <v>1.9074300000000001E-5</v>
      </c>
      <c r="D31">
        <f>'AZ6 RZ1'!C31-'AZ10 RZ1'!C31</f>
        <v>1.4061E-6</v>
      </c>
      <c r="E31" s="5">
        <f t="shared" si="0"/>
        <v>7.3716990924961853E-2</v>
      </c>
    </row>
    <row r="32" spans="2:5" x14ac:dyDescent="0.25">
      <c r="B32" s="3">
        <v>44104</v>
      </c>
      <c r="C32" s="4">
        <v>7.8885000000000001E-5</v>
      </c>
      <c r="D32">
        <f>'AZ6 RZ1'!C32-'AZ10 RZ1'!C32</f>
        <v>-6.0942E-6</v>
      </c>
      <c r="E32" s="5">
        <f t="shared" si="0"/>
        <v>-7.7254230842365462E-2</v>
      </c>
    </row>
    <row r="33" spans="2:5" x14ac:dyDescent="0.25">
      <c r="B33" s="3">
        <v>44106</v>
      </c>
      <c r="C33" s="4">
        <v>2.83291E-5</v>
      </c>
      <c r="D33">
        <f>'AZ6 RZ1'!C33-'AZ10 RZ1'!C33</f>
        <v>-2.0560999999999988E-6</v>
      </c>
      <c r="E33" s="5">
        <f t="shared" si="0"/>
        <v>-7.2579079462460824E-2</v>
      </c>
    </row>
    <row r="34" spans="2:5" x14ac:dyDescent="0.25">
      <c r="B34" s="3">
        <v>45103</v>
      </c>
      <c r="C34" s="4">
        <v>6.1099799999999994E-5</v>
      </c>
      <c r="D34">
        <f>'AZ6 RZ1'!C34-'AZ10 RZ1'!C34</f>
        <v>-6.1342999999999931E-6</v>
      </c>
      <c r="E34" s="5">
        <f t="shared" si="0"/>
        <v>-0.10039803730945099</v>
      </c>
    </row>
    <row r="35" spans="2:5" x14ac:dyDescent="0.25">
      <c r="B35" s="3">
        <v>45105</v>
      </c>
      <c r="C35" s="4">
        <v>2.9243199999999998E-7</v>
      </c>
      <c r="D35">
        <f>'AZ6 RZ1'!C35-'AZ10 RZ1'!C35</f>
        <v>1.3853600000000002E-7</v>
      </c>
      <c r="E35" s="5">
        <f t="shared" si="0"/>
        <v>0.47373748426984746</v>
      </c>
    </row>
    <row r="36" spans="2:5" x14ac:dyDescent="0.25">
      <c r="B36" s="3">
        <v>46105</v>
      </c>
      <c r="C36" s="4">
        <v>4.5217299999999998E-5</v>
      </c>
      <c r="D36">
        <f>'AZ6 RZ1'!C36-'AZ10 RZ1'!C36</f>
        <v>-3.9640999999999982E-6</v>
      </c>
      <c r="E36" s="5">
        <f t="shared" si="0"/>
        <v>-8.7667773175311187E-2</v>
      </c>
    </row>
    <row r="37" spans="2:5" x14ac:dyDescent="0.25">
      <c r="B37" s="3">
        <v>46106</v>
      </c>
      <c r="C37" s="4">
        <v>1.99544E-5</v>
      </c>
      <c r="D37">
        <f>'AZ6 RZ1'!C37-'AZ10 RZ1'!C37</f>
        <v>-2.1911000000000001E-6</v>
      </c>
      <c r="E37" s="5">
        <f t="shared" si="0"/>
        <v>-0.10980535621216374</v>
      </c>
    </row>
    <row r="38" spans="2:5" x14ac:dyDescent="0.25">
      <c r="B38" s="3">
        <v>46107</v>
      </c>
      <c r="C38" s="4">
        <v>2.4697699999999999E-5</v>
      </c>
      <c r="D38">
        <f>'AZ6 RZ1'!C38-'AZ10 RZ1'!C38</f>
        <v>-2.3037999999999999E-6</v>
      </c>
      <c r="E38" s="5">
        <f t="shared" si="0"/>
        <v>-9.3279941047142045E-2</v>
      </c>
    </row>
    <row r="39" spans="2:5" x14ac:dyDescent="0.25">
      <c r="B39" s="3">
        <v>46108</v>
      </c>
      <c r="C39" s="4">
        <v>1.6098000000000001E-5</v>
      </c>
      <c r="D39">
        <f>'AZ6 RZ1'!C39-'AZ10 RZ1'!C39</f>
        <v>-1.5540000000000007E-6</v>
      </c>
      <c r="E39" s="5">
        <f t="shared" si="0"/>
        <v>-9.6533730898248266E-2</v>
      </c>
    </row>
    <row r="40" spans="2:5" x14ac:dyDescent="0.25">
      <c r="B40" s="3">
        <v>47109</v>
      </c>
      <c r="C40" s="4">
        <v>8.6366499999999997E-6</v>
      </c>
      <c r="D40">
        <f>'AZ6 RZ1'!C40-'AZ10 RZ1'!C40</f>
        <v>-7.9747999999999901E-7</v>
      </c>
      <c r="E40" s="5">
        <f t="shared" si="0"/>
        <v>-9.233672778218395E-2</v>
      </c>
    </row>
    <row r="41" spans="2:5" x14ac:dyDescent="0.25">
      <c r="B41" s="3">
        <v>52130</v>
      </c>
      <c r="C41" s="4">
        <v>5.1465100000000003E-5</v>
      </c>
      <c r="D41">
        <f>'AZ6 RZ1'!C41-'AZ10 RZ1'!C41</f>
        <v>-3.4371000000000014E-6</v>
      </c>
      <c r="E41" s="5">
        <f t="shared" si="0"/>
        <v>-6.6785064053115628E-2</v>
      </c>
    </row>
    <row r="42" spans="2:5" x14ac:dyDescent="0.25">
      <c r="B42" s="3">
        <v>53129</v>
      </c>
      <c r="C42" s="4">
        <v>1.8764399999999999E-5</v>
      </c>
      <c r="D42">
        <f>'AZ6 RZ1'!C42-'AZ10 RZ1'!C42</f>
        <v>-1.3448000000000011E-6</v>
      </c>
      <c r="E42" s="5">
        <f t="shared" si="0"/>
        <v>-7.1667625929952516E-2</v>
      </c>
    </row>
    <row r="43" spans="2:5" x14ac:dyDescent="0.25">
      <c r="B43" s="3">
        <v>54131</v>
      </c>
      <c r="C43" s="4">
        <v>5.8441099999999999E-5</v>
      </c>
      <c r="D43">
        <f>'AZ6 RZ1'!C43-'AZ10 RZ1'!C43</f>
        <v>-4.4849000000000017E-6</v>
      </c>
      <c r="E43" s="5">
        <f t="shared" si="0"/>
        <v>-7.6742224222336702E-2</v>
      </c>
    </row>
    <row r="44" spans="2:5" x14ac:dyDescent="0.25">
      <c r="B44" s="3">
        <v>54132</v>
      </c>
      <c r="C44" s="4">
        <v>1.4290099999999999E-4</v>
      </c>
      <c r="D44">
        <f>'AZ6 RZ1'!C44-'AZ10 RZ1'!C44</f>
        <v>-1.1351999999999982E-5</v>
      </c>
      <c r="E44" s="5">
        <f t="shared" si="0"/>
        <v>-7.943961203910388E-2</v>
      </c>
    </row>
    <row r="45" spans="2:5" x14ac:dyDescent="0.25">
      <c r="B45" s="3">
        <v>54133</v>
      </c>
      <c r="C45" s="4">
        <v>3.2061000000000001E-6</v>
      </c>
      <c r="D45">
        <f>'AZ6 RZ1'!C45-'AZ10 RZ1'!C45</f>
        <v>1.9938400000000001E-6</v>
      </c>
      <c r="E45" s="5">
        <f t="shared" si="0"/>
        <v>0.62188952309659717</v>
      </c>
    </row>
    <row r="46" spans="2:5" x14ac:dyDescent="0.25">
      <c r="B46" s="3">
        <v>54134</v>
      </c>
      <c r="C46" s="4">
        <v>2.12728E-4</v>
      </c>
      <c r="D46">
        <f>'AZ6 RZ1'!C46-'AZ10 RZ1'!C46</f>
        <v>-1.3870000000000001E-5</v>
      </c>
      <c r="E46" s="5">
        <f t="shared" si="0"/>
        <v>-6.5200631792711822E-2</v>
      </c>
    </row>
    <row r="47" spans="2:5" x14ac:dyDescent="0.25">
      <c r="B47" s="3">
        <v>54135</v>
      </c>
      <c r="C47" s="4">
        <v>4.3695500000000002E-8</v>
      </c>
      <c r="D47">
        <f>'AZ6 RZ1'!C47-'AZ10 RZ1'!C47</f>
        <v>9.2306999999999954E-9</v>
      </c>
      <c r="E47" s="5">
        <f t="shared" si="0"/>
        <v>0.2112505864448283</v>
      </c>
    </row>
    <row r="48" spans="2:5" x14ac:dyDescent="0.25">
      <c r="B48" s="3">
        <v>54136</v>
      </c>
      <c r="C48" s="4">
        <v>3.2928599999999998E-4</v>
      </c>
      <c r="D48">
        <f>'AZ6 RZ1'!C48-'AZ10 RZ1'!C48</f>
        <v>-2.1448999999999991E-5</v>
      </c>
      <c r="E48" s="5">
        <f t="shared" si="0"/>
        <v>-6.5137904435657729E-2</v>
      </c>
    </row>
    <row r="49" spans="2:5" x14ac:dyDescent="0.25">
      <c r="B49" s="3">
        <v>55133</v>
      </c>
      <c r="C49" s="4">
        <v>1.54375E-4</v>
      </c>
      <c r="D49">
        <f>'AZ6 RZ1'!C49-'AZ10 RZ1'!C49</f>
        <v>-1.1581999999999999E-5</v>
      </c>
      <c r="E49" s="5">
        <f t="shared" si="0"/>
        <v>-7.5025101214574896E-2</v>
      </c>
    </row>
    <row r="50" spans="2:5" x14ac:dyDescent="0.25">
      <c r="B50" s="3">
        <v>55134</v>
      </c>
      <c r="C50" s="4">
        <v>1.9240299999999999E-5</v>
      </c>
      <c r="D50">
        <f>'AZ6 RZ1'!C50-'AZ10 RZ1'!C50</f>
        <v>-1.9717000000000001E-6</v>
      </c>
      <c r="E50" s="5">
        <f t="shared" si="0"/>
        <v>-0.10247761209544551</v>
      </c>
    </row>
    <row r="51" spans="2:5" x14ac:dyDescent="0.25">
      <c r="B51" s="3">
        <v>55135</v>
      </c>
      <c r="C51" s="4">
        <v>3.0034599999999999E-5</v>
      </c>
      <c r="D51">
        <f>'AZ6 RZ1'!C51-'AZ10 RZ1'!C51</f>
        <v>-2.5657999999999984E-6</v>
      </c>
      <c r="E51" s="5">
        <f t="shared" si="0"/>
        <v>-8.5428139545723883E-2</v>
      </c>
    </row>
    <row r="52" spans="2:5" x14ac:dyDescent="0.25">
      <c r="B52" s="3">
        <v>55137</v>
      </c>
      <c r="C52" s="4">
        <v>1.6776700000000001E-4</v>
      </c>
      <c r="D52">
        <f>'AZ6 RZ1'!C52-'AZ10 RZ1'!C52</f>
        <v>-1.0901999999999998E-5</v>
      </c>
      <c r="E52" s="5">
        <f t="shared" si="0"/>
        <v>-6.4982982350521842E-2</v>
      </c>
    </row>
    <row r="53" spans="2:5" x14ac:dyDescent="0.25">
      <c r="B53" s="3">
        <v>56138</v>
      </c>
      <c r="C53" s="4">
        <v>1.79211E-4</v>
      </c>
      <c r="D53">
        <f>'AZ6 RZ1'!C53-'AZ10 RZ1'!C53</f>
        <v>-1.1593999999999998E-5</v>
      </c>
      <c r="E53" s="5">
        <f t="shared" si="0"/>
        <v>-6.4694689500086472E-2</v>
      </c>
    </row>
    <row r="54" spans="2:5" x14ac:dyDescent="0.25">
      <c r="B54" s="3">
        <v>56140</v>
      </c>
      <c r="C54" s="4">
        <v>7.9743700000000007E-6</v>
      </c>
      <c r="D54">
        <f>'AZ6 RZ1'!C54-'AZ10 RZ1'!C54</f>
        <v>3.0441299999999989E-6</v>
      </c>
      <c r="E54" s="5">
        <f t="shared" si="0"/>
        <v>0.38173924711293789</v>
      </c>
    </row>
    <row r="55" spans="2:5" x14ac:dyDescent="0.25">
      <c r="B55" s="3">
        <v>57139</v>
      </c>
      <c r="C55" s="4">
        <v>1.6708599999999999E-4</v>
      </c>
      <c r="D55">
        <f>'AZ6 RZ1'!C55-'AZ10 RZ1'!C55</f>
        <v>-1.0720999999999994E-5</v>
      </c>
      <c r="E55" s="5">
        <f t="shared" si="0"/>
        <v>-6.4164561962103323E-2</v>
      </c>
    </row>
    <row r="56" spans="2:5" x14ac:dyDescent="0.25">
      <c r="B56" s="3">
        <v>58140</v>
      </c>
      <c r="C56" s="4">
        <v>1.5554800000000001E-4</v>
      </c>
      <c r="D56">
        <f>'AZ6 RZ1'!C56-'AZ10 RZ1'!C56</f>
        <v>-1.4083000000000021E-5</v>
      </c>
      <c r="E56" s="5">
        <f t="shared" si="0"/>
        <v>-9.0537968987065218E-2</v>
      </c>
    </row>
    <row r="57" spans="2:5" x14ac:dyDescent="0.25">
      <c r="B57" s="3">
        <v>58141</v>
      </c>
      <c r="C57" s="4">
        <v>2.0743299999999998E-5</v>
      </c>
      <c r="D57">
        <f>'AZ6 RZ1'!C57-'AZ10 RZ1'!C57</f>
        <v>2.6163000000000007E-6</v>
      </c>
      <c r="E57" s="5">
        <f t="shared" si="0"/>
        <v>0.12612747248509162</v>
      </c>
    </row>
    <row r="58" spans="2:5" x14ac:dyDescent="0.25">
      <c r="B58" s="3">
        <v>58142</v>
      </c>
      <c r="C58" s="4">
        <v>1.5416099999999999E-4</v>
      </c>
      <c r="D58">
        <f>'AZ6 RZ1'!C58-'AZ10 RZ1'!C58</f>
        <v>-9.9119999999999959E-6</v>
      </c>
      <c r="E58" s="5">
        <f t="shared" si="0"/>
        <v>-6.4296417381828064E-2</v>
      </c>
    </row>
    <row r="59" spans="2:5" x14ac:dyDescent="0.25">
      <c r="B59" s="3">
        <v>58144</v>
      </c>
      <c r="C59" s="4">
        <v>8.9696200000000004E-5</v>
      </c>
      <c r="D59">
        <f>'AZ6 RZ1'!C59-'AZ10 RZ1'!C59</f>
        <v>-3.0682999999999991E-6</v>
      </c>
      <c r="E59" s="5">
        <f t="shared" si="0"/>
        <v>-3.4207692187628896E-2</v>
      </c>
    </row>
    <row r="60" spans="2:5" x14ac:dyDescent="0.25">
      <c r="B60" s="3">
        <v>59141</v>
      </c>
      <c r="C60" s="4">
        <v>1.2885500000000001E-4</v>
      </c>
      <c r="D60">
        <f>'AZ6 RZ1'!C60-'AZ10 RZ1'!C60</f>
        <v>-1.2157000000000013E-5</v>
      </c>
      <c r="E60" s="5">
        <f t="shared" si="0"/>
        <v>-9.4346358309728082E-2</v>
      </c>
    </row>
    <row r="61" spans="2:5" x14ac:dyDescent="0.25">
      <c r="B61" s="3">
        <v>59143</v>
      </c>
      <c r="C61" s="4">
        <v>7.9776800000000002E-6</v>
      </c>
      <c r="D61">
        <f>'AZ6 RZ1'!C61-'AZ10 RZ1'!C61</f>
        <v>2.6893199999999995E-6</v>
      </c>
      <c r="E61" s="5">
        <f t="shared" si="0"/>
        <v>0.33710552441311253</v>
      </c>
    </row>
    <row r="62" spans="2:5" x14ac:dyDescent="0.25">
      <c r="B62" s="3">
        <v>60143</v>
      </c>
      <c r="C62" s="4">
        <v>1.10381E-4</v>
      </c>
      <c r="D62">
        <f>'AZ6 RZ1'!C62-'AZ10 RZ1'!C62</f>
        <v>-9.4169999999999947E-6</v>
      </c>
      <c r="E62" s="5">
        <f t="shared" si="0"/>
        <v>-8.5313595636930223E-2</v>
      </c>
    </row>
    <row r="63" spans="2:5" x14ac:dyDescent="0.25">
      <c r="B63" s="3">
        <v>60144</v>
      </c>
      <c r="C63" s="4">
        <v>8.0208000000000002E-5</v>
      </c>
      <c r="D63">
        <f>'AZ6 RZ1'!C63-'AZ10 RZ1'!C63</f>
        <v>-8.8092999999999971E-6</v>
      </c>
      <c r="E63" s="5">
        <f t="shared" si="0"/>
        <v>-0.10983069020546575</v>
      </c>
    </row>
    <row r="64" spans="2:5" x14ac:dyDescent="0.25">
      <c r="B64" s="3">
        <v>60145</v>
      </c>
      <c r="C64" s="4">
        <v>9.0100399999999995E-5</v>
      </c>
      <c r="D64">
        <f>'AZ6 RZ1'!C64-'AZ10 RZ1'!C64</f>
        <v>-5.3129999999999947E-6</v>
      </c>
      <c r="E64" s="5">
        <f t="shared" si="0"/>
        <v>-5.8967551753377291E-2</v>
      </c>
    </row>
    <row r="65" spans="1:5" x14ac:dyDescent="0.25">
      <c r="B65" s="3">
        <v>60146</v>
      </c>
      <c r="C65" s="4">
        <v>8.8473000000000005E-5</v>
      </c>
      <c r="D65">
        <f>'AZ6 RZ1'!C65-'AZ10 RZ1'!C65</f>
        <v>-6.1385000000000091E-6</v>
      </c>
      <c r="E65" s="5">
        <f t="shared" si="0"/>
        <v>-6.9382749539407595E-2</v>
      </c>
    </row>
    <row r="66" spans="1:5" x14ac:dyDescent="0.25">
      <c r="B66" s="3">
        <v>60147</v>
      </c>
      <c r="C66" s="4">
        <v>2.3623799999999999E-6</v>
      </c>
      <c r="D66">
        <f>'AZ6 RZ1'!C66-'AZ10 RZ1'!C66</f>
        <v>1.0033300000000002E-6</v>
      </c>
      <c r="E66" s="5">
        <f t="shared" si="0"/>
        <v>0.42471151973856885</v>
      </c>
    </row>
    <row r="67" spans="1:5" x14ac:dyDescent="0.25">
      <c r="B67" s="3">
        <v>60148</v>
      </c>
      <c r="C67" s="4">
        <v>4.71683E-5</v>
      </c>
      <c r="D67">
        <f>'AZ6 RZ1'!C67-'AZ10 RZ1'!C67</f>
        <v>-3.0814000000000007E-6</v>
      </c>
      <c r="E67" s="5">
        <f t="shared" si="0"/>
        <v>-6.5327773101850201E-2</v>
      </c>
    </row>
    <row r="68" spans="1:5" x14ac:dyDescent="0.25">
      <c r="B68" s="3">
        <v>60150</v>
      </c>
      <c r="C68" s="4">
        <v>1.9741800000000001E-5</v>
      </c>
      <c r="D68">
        <f>'AZ6 RZ1'!C68-'AZ10 RZ1'!C68</f>
        <v>-1.3594000000000026E-6</v>
      </c>
      <c r="E68" s="5">
        <f t="shared" si="0"/>
        <v>-6.8858969293580249E-2</v>
      </c>
    </row>
    <row r="69" spans="1:5" x14ac:dyDescent="0.25">
      <c r="B69" s="3">
        <v>61147</v>
      </c>
      <c r="C69" s="4">
        <v>2.7259499999999999E-5</v>
      </c>
      <c r="D69">
        <f>'AZ6 RZ1'!C69-'AZ10 RZ1'!C69</f>
        <v>-1.9100000000000003E-6</v>
      </c>
      <c r="E69" s="5">
        <f t="shared" ref="E69:E79" si="1">D69/C69</f>
        <v>-7.0067315981584416E-2</v>
      </c>
    </row>
    <row r="70" spans="1:5" x14ac:dyDescent="0.25">
      <c r="B70" s="3">
        <v>61149</v>
      </c>
      <c r="C70" s="4">
        <v>2.1080799999999999E-7</v>
      </c>
      <c r="D70">
        <f>'AZ6 RZ1'!C70-'AZ10 RZ1'!C70</f>
        <v>1.3950000000000002E-7</v>
      </c>
      <c r="E70" s="5">
        <f t="shared" si="1"/>
        <v>0.66173959242533509</v>
      </c>
    </row>
    <row r="71" spans="1:5" x14ac:dyDescent="0.25">
      <c r="B71" s="3">
        <v>62147</v>
      </c>
      <c r="C71" s="4">
        <v>3.5121499999999999E-6</v>
      </c>
      <c r="D71">
        <f>'AZ6 RZ1'!C71-'AZ10 RZ1'!C71</f>
        <v>-3.718699999999998E-7</v>
      </c>
      <c r="E71" s="5">
        <f t="shared" si="1"/>
        <v>-0.10588101305468155</v>
      </c>
    </row>
    <row r="72" spans="1:5" x14ac:dyDescent="0.25">
      <c r="B72" s="3">
        <v>62149</v>
      </c>
      <c r="C72" s="4">
        <v>3.0347099999999998E-7</v>
      </c>
      <c r="D72">
        <f>'AZ6 RZ1'!C72-'AZ10 RZ1'!C72</f>
        <v>2.0867999999999999E-8</v>
      </c>
      <c r="E72" s="5">
        <f t="shared" si="1"/>
        <v>6.8764395938985937E-2</v>
      </c>
    </row>
    <row r="73" spans="1:5" x14ac:dyDescent="0.25">
      <c r="B73" s="3">
        <v>62150</v>
      </c>
      <c r="C73" s="4">
        <v>2.6060499999999999E-5</v>
      </c>
      <c r="D73">
        <f>'AZ6 RZ1'!C73-'AZ10 RZ1'!C73</f>
        <v>-1.7773999999999976E-6</v>
      </c>
      <c r="E73" s="5">
        <f t="shared" si="1"/>
        <v>-6.8202835709215009E-2</v>
      </c>
    </row>
    <row r="74" spans="1:5" x14ac:dyDescent="0.25">
      <c r="B74" s="3">
        <v>62151</v>
      </c>
      <c r="C74" s="4">
        <v>1.95023E-6</v>
      </c>
      <c r="D74">
        <f>'AZ6 RZ1'!C74-'AZ10 RZ1'!C74</f>
        <v>-8.3959999999999913E-8</v>
      </c>
      <c r="E74" s="5">
        <f t="shared" si="1"/>
        <v>-4.3051332406946828E-2</v>
      </c>
    </row>
    <row r="75" spans="1:5" x14ac:dyDescent="0.25">
      <c r="B75" s="3">
        <v>62152</v>
      </c>
      <c r="C75" s="4">
        <v>1.12518E-5</v>
      </c>
      <c r="D75">
        <f>'AZ6 RZ1'!C75-'AZ10 RZ1'!C75</f>
        <v>-5.9449999999999914E-7</v>
      </c>
      <c r="E75" s="5">
        <f t="shared" si="1"/>
        <v>-5.2835990685934621E-2</v>
      </c>
    </row>
    <row r="76" spans="1:5" x14ac:dyDescent="0.25">
      <c r="B76" s="3">
        <v>63153</v>
      </c>
      <c r="C76" s="4">
        <v>1.19039E-5</v>
      </c>
      <c r="D76">
        <f>'AZ6 RZ1'!C76-'AZ10 RZ1'!C76</f>
        <v>-1.0869999999999999E-6</v>
      </c>
      <c r="E76" s="5">
        <f t="shared" si="1"/>
        <v>-9.1314611177849267E-2</v>
      </c>
    </row>
    <row r="77" spans="1:5" x14ac:dyDescent="0.25">
      <c r="B77" s="3">
        <v>63154</v>
      </c>
      <c r="C77" s="4">
        <v>2.1494900000000001E-6</v>
      </c>
      <c r="D77">
        <f>'AZ6 RZ1'!C77-'AZ10 RZ1'!C77</f>
        <v>-2.1424000000000026E-7</v>
      </c>
      <c r="E77" s="5">
        <f t="shared" si="1"/>
        <v>-9.9670154315674997E-2</v>
      </c>
    </row>
    <row r="78" spans="1:5" x14ac:dyDescent="0.25">
      <c r="B78" s="3">
        <v>63155</v>
      </c>
      <c r="C78" s="4">
        <v>6.5726E-7</v>
      </c>
      <c r="D78">
        <f>'AZ6 RZ1'!C78-'AZ10 RZ1'!C78</f>
        <v>-8.1139999999999997E-8</v>
      </c>
      <c r="E78" s="5">
        <f t="shared" si="1"/>
        <v>-0.12345190639929403</v>
      </c>
    </row>
    <row r="79" spans="1:5" x14ac:dyDescent="0.25">
      <c r="A79" t="s">
        <v>7</v>
      </c>
      <c r="B79" s="3">
        <v>64157</v>
      </c>
      <c r="C79" s="4">
        <v>1.4265000000000001E-8</v>
      </c>
      <c r="D79">
        <f>'AZ6 RZ1'!C79-'AZ10 RZ1'!C79</f>
        <v>3.3436999999999987E-9</v>
      </c>
      <c r="E79" s="5">
        <f t="shared" si="1"/>
        <v>0.23439887837364168</v>
      </c>
    </row>
    <row r="80" spans="1:5" x14ac:dyDescent="0.25">
      <c r="B80" s="3">
        <v>92235</v>
      </c>
      <c r="C80" s="4">
        <v>2.0924199999999998E-3</v>
      </c>
      <c r="D80" s="6">
        <f>'AZ6 RZ1'!C80-'AZ10 RZ1'!C80</f>
        <v>1.4309000000000023E-4</v>
      </c>
      <c r="E80" s="5">
        <f>D80/C80</f>
        <v>6.8384932279370411E-2</v>
      </c>
    </row>
    <row r="81" spans="1:5" x14ac:dyDescent="0.25">
      <c r="B81" s="3">
        <v>92236</v>
      </c>
      <c r="C81" s="4">
        <v>4.5711699999999999E-4</v>
      </c>
      <c r="D81" s="6">
        <f>'AZ6 RZ1'!C81-'AZ10 RZ1'!C81</f>
        <v>-2.3533000000000007E-5</v>
      </c>
      <c r="E81" s="5">
        <f t="shared" ref="E81:E92" si="2">D81/C81</f>
        <v>-5.1481349413826233E-2</v>
      </c>
    </row>
    <row r="82" spans="1:5" x14ac:dyDescent="0.25">
      <c r="B82" s="3">
        <v>92237</v>
      </c>
      <c r="C82" s="4">
        <v>1.77531E-6</v>
      </c>
      <c r="D82" s="6">
        <f>'AZ6 RZ1'!C82-'AZ10 RZ1'!C82</f>
        <v>1.0711600000000002E-6</v>
      </c>
      <c r="E82" s="5">
        <f t="shared" si="2"/>
        <v>0.60336504610462405</v>
      </c>
    </row>
    <row r="83" spans="1:5" x14ac:dyDescent="0.25">
      <c r="A83" t="s">
        <v>4</v>
      </c>
      <c r="B83" s="3">
        <v>92238</v>
      </c>
      <c r="C83" s="4">
        <v>1.7846000000000001E-2</v>
      </c>
      <c r="D83" s="6">
        <f>'AZ6 RZ1'!C83-'AZ10 RZ1'!C83</f>
        <v>8.9499999999999302E-5</v>
      </c>
      <c r="E83" s="5">
        <f t="shared" si="2"/>
        <v>5.0151294407710014E-3</v>
      </c>
    </row>
    <row r="84" spans="1:5" x14ac:dyDescent="0.25">
      <c r="B84" s="3">
        <v>93237</v>
      </c>
      <c r="C84" s="4">
        <v>3.5438100000000002E-5</v>
      </c>
      <c r="D84" s="6">
        <f>'AZ6 RZ1'!C84-'AZ10 RZ1'!C84</f>
        <v>-4.6456000000000017E-6</v>
      </c>
      <c r="E84" s="5">
        <f t="shared" si="2"/>
        <v>-0.13109054943690551</v>
      </c>
    </row>
    <row r="85" spans="1:5" x14ac:dyDescent="0.25">
      <c r="B85" s="3">
        <v>93239</v>
      </c>
      <c r="C85" s="4">
        <v>8.3188400000000001E-6</v>
      </c>
      <c r="D85" s="6">
        <f>'AZ6 RZ1'!C85-'AZ10 RZ1'!C85</f>
        <v>8.8706599999999985E-6</v>
      </c>
      <c r="E85" s="5">
        <f t="shared" si="2"/>
        <v>1.0663337676887641</v>
      </c>
    </row>
    <row r="86" spans="1:5" x14ac:dyDescent="0.25">
      <c r="B86" s="3">
        <v>94238</v>
      </c>
      <c r="C86" s="4">
        <v>9.7421699999999993E-6</v>
      </c>
      <c r="D86" s="6">
        <f>'AZ6 RZ1'!C86-'AZ10 RZ1'!C86</f>
        <v>-1.4422999999999997E-6</v>
      </c>
      <c r="E86" s="5">
        <f t="shared" si="2"/>
        <v>-0.14804709833640758</v>
      </c>
    </row>
    <row r="87" spans="1:5" x14ac:dyDescent="0.25">
      <c r="B87" s="3">
        <v>94239</v>
      </c>
      <c r="C87" s="4">
        <v>2.7866099999999998E-4</v>
      </c>
      <c r="D87" s="6">
        <f>'AZ6 RZ1'!C87-'AZ10 RZ1'!C87</f>
        <v>-2.0114000000000004E-5</v>
      </c>
      <c r="E87" s="5">
        <f t="shared" si="2"/>
        <v>-7.2180893630612128E-2</v>
      </c>
    </row>
    <row r="88" spans="1:5" x14ac:dyDescent="0.25">
      <c r="B88" s="3">
        <v>94240</v>
      </c>
      <c r="C88" s="4">
        <v>8.4128000000000005E-5</v>
      </c>
      <c r="D88" s="6">
        <f>'AZ6 RZ1'!C88-'AZ10 RZ1'!C88</f>
        <v>-5.5780000000000066E-6</v>
      </c>
      <c r="E88" s="5">
        <f t="shared" si="2"/>
        <v>-6.6303727653100109E-2</v>
      </c>
    </row>
    <row r="89" spans="1:5" x14ac:dyDescent="0.25">
      <c r="B89" s="3">
        <v>94241</v>
      </c>
      <c r="C89" s="4">
        <v>8.4094100000000005E-5</v>
      </c>
      <c r="D89" s="6">
        <f>'AZ6 RZ1'!C89-'AZ10 RZ1'!C89</f>
        <v>-6.0366000000000093E-6</v>
      </c>
      <c r="E89" s="5">
        <f t="shared" si="2"/>
        <v>-7.1783870687717799E-2</v>
      </c>
    </row>
    <row r="90" spans="1:5" x14ac:dyDescent="0.25">
      <c r="B90" s="3">
        <v>94242</v>
      </c>
      <c r="C90" s="4">
        <v>3.2157199999999998E-5</v>
      </c>
      <c r="D90" s="6">
        <f>'AZ6 RZ1'!C90-'AZ10 RZ1'!C90</f>
        <v>-3.5356999999999973E-6</v>
      </c>
      <c r="E90" s="5">
        <f t="shared" si="2"/>
        <v>-0.10995049320214439</v>
      </c>
    </row>
    <row r="91" spans="1:5" x14ac:dyDescent="0.25">
      <c r="B91" s="3">
        <v>95241</v>
      </c>
      <c r="C91" s="4">
        <v>8.3758299999999999E-7</v>
      </c>
      <c r="D91" s="6">
        <f>'AZ6 RZ1'!C91-'AZ10 RZ1'!C91</f>
        <v>-1.3980999999999998E-7</v>
      </c>
      <c r="E91" s="5">
        <f t="shared" si="2"/>
        <v>-0.16692077083703941</v>
      </c>
    </row>
    <row r="92" spans="1:5" x14ac:dyDescent="0.25">
      <c r="B92" s="3">
        <v>95243</v>
      </c>
      <c r="C92" s="4">
        <v>6.50945E-6</v>
      </c>
      <c r="D92" s="6">
        <f>'AZ6 RZ1'!C92-'AZ10 RZ1'!C92</f>
        <v>-9.6982000000000014E-7</v>
      </c>
      <c r="E92" s="5">
        <f t="shared" si="2"/>
        <v>-0.14898647351158703</v>
      </c>
    </row>
    <row r="93" spans="1:5" x14ac:dyDescent="0.25">
      <c r="D93" s="7" t="s">
        <v>8</v>
      </c>
      <c r="E93" s="8">
        <f>AVERAGE(E4:E92)</f>
        <v>3.6838439775134936E-4</v>
      </c>
    </row>
    <row r="94" spans="1:5" x14ac:dyDescent="0.25">
      <c r="D94" s="7" t="s">
        <v>9</v>
      </c>
      <c r="E94" s="9">
        <f>STDEVA(E4:E92)</f>
        <v>0.20263680008610474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1761-410D-441E-9233-BADAE586DD6D}">
  <dimension ref="A3:E94"/>
  <sheetViews>
    <sheetView topLeftCell="A60" workbookViewId="0">
      <selection activeCell="D93" sqref="D93:E94"/>
    </sheetView>
  </sheetViews>
  <sheetFormatPr baseColWidth="10" defaultColWidth="8.85546875" defaultRowHeight="15" x14ac:dyDescent="0.25"/>
  <cols>
    <col min="2" max="2" width="15" bestFit="1" customWidth="1"/>
    <col min="3" max="3" width="26.85546875" bestFit="1" customWidth="1"/>
    <col min="4" max="4" width="12" bestFit="1" customWidth="1"/>
    <col min="5" max="5" width="9.5703125" bestFit="1" customWidth="1"/>
  </cols>
  <sheetData>
    <row r="3" spans="2:5" ht="30" x14ac:dyDescent="0.25">
      <c r="B3" s="2" t="s">
        <v>2</v>
      </c>
      <c r="C3" s="2" t="s">
        <v>3</v>
      </c>
      <c r="D3" t="s">
        <v>5</v>
      </c>
      <c r="E3" t="s">
        <v>6</v>
      </c>
    </row>
    <row r="4" spans="2:5" x14ac:dyDescent="0.25">
      <c r="B4" s="3">
        <v>6012</v>
      </c>
      <c r="C4" s="4">
        <v>1.1821099999999999E-2</v>
      </c>
      <c r="D4">
        <f>'AZ6 RZ1'!C4-'AZ10 RZ4'!C4</f>
        <v>0</v>
      </c>
      <c r="E4" s="5">
        <f>D4/C4</f>
        <v>0</v>
      </c>
    </row>
    <row r="5" spans="2:5" x14ac:dyDescent="0.25">
      <c r="B5" s="3">
        <v>8016</v>
      </c>
      <c r="C5" s="4">
        <v>3.5463399999999999E-2</v>
      </c>
      <c r="D5">
        <f>'AZ6 RZ1'!C5-'AZ10 RZ4'!C5</f>
        <v>0</v>
      </c>
      <c r="E5" s="5">
        <f t="shared" ref="E5:E68" si="0">D5/C5</f>
        <v>0</v>
      </c>
    </row>
    <row r="6" spans="2:5" x14ac:dyDescent="0.25">
      <c r="B6" s="3">
        <v>36083</v>
      </c>
      <c r="C6" s="4">
        <v>1.03612E-5</v>
      </c>
      <c r="D6">
        <f>'AZ6 RZ1'!C6-'AZ10 RZ4'!C6</f>
        <v>-2.7709999999999943E-7</v>
      </c>
      <c r="E6" s="5">
        <f t="shared" si="0"/>
        <v>-2.6744006485735189E-2</v>
      </c>
    </row>
    <row r="7" spans="2:5" x14ac:dyDescent="0.25">
      <c r="B7" s="3">
        <v>36084</v>
      </c>
      <c r="C7" s="4">
        <v>2.46145E-5</v>
      </c>
      <c r="D7">
        <f>'AZ6 RZ1'!C7-'AZ10 RZ4'!C7</f>
        <v>-7.1459999999999821E-7</v>
      </c>
      <c r="E7" s="5">
        <f t="shared" si="0"/>
        <v>-2.9031668325580379E-2</v>
      </c>
    </row>
    <row r="8" spans="2:5" x14ac:dyDescent="0.25">
      <c r="B8" s="3">
        <v>36086</v>
      </c>
      <c r="C8" s="4">
        <v>4.1639099999999999E-5</v>
      </c>
      <c r="D8">
        <f>'AZ6 RZ1'!C8-'AZ10 RZ4'!C8</f>
        <v>-1.1719000000000014E-6</v>
      </c>
      <c r="E8" s="5">
        <f t="shared" si="0"/>
        <v>-2.8144220216095004E-2</v>
      </c>
    </row>
    <row r="9" spans="2:5" x14ac:dyDescent="0.25">
      <c r="B9" s="3">
        <v>37085</v>
      </c>
      <c r="C9" s="4">
        <v>2.3913E-5</v>
      </c>
      <c r="D9">
        <f>'AZ6 RZ1'!C9-'AZ10 RZ4'!C9</f>
        <v>-7.1430000000000094E-7</v>
      </c>
      <c r="E9" s="5">
        <f t="shared" si="0"/>
        <v>-2.9870781583239282E-2</v>
      </c>
    </row>
    <row r="10" spans="2:5" x14ac:dyDescent="0.25">
      <c r="B10" s="3">
        <v>37087</v>
      </c>
      <c r="C10" s="4">
        <v>5.7941700000000001E-5</v>
      </c>
      <c r="D10">
        <f>'AZ6 RZ1'!C10-'AZ10 RZ4'!C10</f>
        <v>-1.6429000000000042E-6</v>
      </c>
      <c r="E10" s="5">
        <f t="shared" si="0"/>
        <v>-2.83543630925569E-2</v>
      </c>
    </row>
    <row r="11" spans="2:5" x14ac:dyDescent="0.25">
      <c r="B11" s="3">
        <v>38088</v>
      </c>
      <c r="C11" s="4">
        <v>7.8855000000000003E-5</v>
      </c>
      <c r="D11">
        <f>'AZ6 RZ1'!C11-'AZ10 RZ4'!C11</f>
        <v>-2.243700000000007E-6</v>
      </c>
      <c r="E11" s="5">
        <f t="shared" si="0"/>
        <v>-2.8453490583983349E-2</v>
      </c>
    </row>
    <row r="12" spans="2:5" x14ac:dyDescent="0.25">
      <c r="B12" s="3">
        <v>38089</v>
      </c>
      <c r="C12" s="4">
        <v>1.9623199999999999E-5</v>
      </c>
      <c r="D12">
        <f>'AZ6 RZ1'!C12-'AZ10 RZ4'!C12</f>
        <v>3.7120000000000011E-6</v>
      </c>
      <c r="E12" s="5">
        <f t="shared" si="0"/>
        <v>0.18916384687512747</v>
      </c>
    </row>
    <row r="13" spans="2:5" x14ac:dyDescent="0.25">
      <c r="B13" s="3">
        <v>38090</v>
      </c>
      <c r="C13" s="4">
        <v>1.2646399999999999E-4</v>
      </c>
      <c r="D13">
        <f>'AZ6 RZ1'!C13-'AZ10 RZ4'!C13</f>
        <v>-3.4059999999999874E-6</v>
      </c>
      <c r="E13" s="5">
        <f t="shared" si="0"/>
        <v>-2.6932565789473586E-2</v>
      </c>
    </row>
    <row r="14" spans="2:5" x14ac:dyDescent="0.25">
      <c r="B14" s="3">
        <v>39089</v>
      </c>
      <c r="C14" s="4">
        <v>8.5250699999999993E-5</v>
      </c>
      <c r="D14">
        <f>'AZ6 RZ1'!C14-'AZ10 RZ4'!C14</f>
        <v>-6.6659E-6</v>
      </c>
      <c r="E14" s="5">
        <f t="shared" si="0"/>
        <v>-7.819173332301084E-2</v>
      </c>
    </row>
    <row r="15" spans="2:5" x14ac:dyDescent="0.25">
      <c r="B15" s="3">
        <v>39091</v>
      </c>
      <c r="C15" s="4">
        <v>2.84158E-5</v>
      </c>
      <c r="D15">
        <f>'AZ6 RZ1'!C15-'AZ10 RZ4'!C15</f>
        <v>4.5185000000000009E-6</v>
      </c>
      <c r="E15" s="5">
        <f t="shared" si="0"/>
        <v>0.15901364733704493</v>
      </c>
    </row>
    <row r="16" spans="2:5" x14ac:dyDescent="0.25">
      <c r="B16" s="3">
        <v>40091</v>
      </c>
      <c r="C16" s="4">
        <v>1.0228E-4</v>
      </c>
      <c r="D16">
        <f>'AZ6 RZ1'!C16-'AZ10 RZ4'!C16</f>
        <v>-8.3561999999999997E-6</v>
      </c>
      <c r="E16" s="5">
        <f t="shared" si="0"/>
        <v>-8.1699256941728582E-2</v>
      </c>
    </row>
    <row r="17" spans="2:5" x14ac:dyDescent="0.25">
      <c r="B17" s="3">
        <v>40092</v>
      </c>
      <c r="C17" s="4">
        <v>1.3846E-4</v>
      </c>
      <c r="D17">
        <f>'AZ6 RZ1'!C17-'AZ10 RZ4'!C17</f>
        <v>-3.9840000000000079E-6</v>
      </c>
      <c r="E17" s="5">
        <f t="shared" si="0"/>
        <v>-2.8773653040589396E-2</v>
      </c>
    </row>
    <row r="18" spans="2:5" x14ac:dyDescent="0.25">
      <c r="B18" s="3">
        <v>40093</v>
      </c>
      <c r="C18" s="4">
        <v>1.47925E-4</v>
      </c>
      <c r="D18">
        <f>'AZ6 RZ1'!C18-'AZ10 RZ4'!C18</f>
        <v>-4.3990000000000099E-6</v>
      </c>
      <c r="E18" s="5">
        <f t="shared" si="0"/>
        <v>-2.9738042927159099E-2</v>
      </c>
    </row>
    <row r="19" spans="2:5" x14ac:dyDescent="0.25">
      <c r="B19" s="3">
        <v>40094</v>
      </c>
      <c r="C19" s="4">
        <v>1.5575300000000001E-4</v>
      </c>
      <c r="D19">
        <f>'AZ6 RZ1'!C19-'AZ10 RZ4'!C19</f>
        <v>-4.3280000000000033E-6</v>
      </c>
      <c r="E19" s="5">
        <f t="shared" si="0"/>
        <v>-2.7787586755953355E-2</v>
      </c>
    </row>
    <row r="20" spans="2:5" x14ac:dyDescent="0.25">
      <c r="B20" s="3">
        <v>40095</v>
      </c>
      <c r="C20" s="4">
        <v>3.7836300000000002E-5</v>
      </c>
      <c r="D20">
        <f>'AZ6 RZ1'!C20-'AZ10 RZ4'!C20</f>
        <v>5.6690999999999963E-6</v>
      </c>
      <c r="E20" s="5">
        <f t="shared" si="0"/>
        <v>0.14983230389863691</v>
      </c>
    </row>
    <row r="21" spans="2:5" x14ac:dyDescent="0.25">
      <c r="B21" s="3">
        <v>40096</v>
      </c>
      <c r="C21" s="4">
        <v>1.5562599999999999E-4</v>
      </c>
      <c r="D21">
        <f>'AZ6 RZ1'!C21-'AZ10 RZ4'!C21</f>
        <v>-4.3900000000000037E-6</v>
      </c>
      <c r="E21" s="5">
        <f t="shared" si="0"/>
        <v>-2.8208654080937659E-2</v>
      </c>
    </row>
    <row r="22" spans="2:5" x14ac:dyDescent="0.25">
      <c r="B22" s="3">
        <v>41095</v>
      </c>
      <c r="C22" s="4">
        <v>2.0304799999999999E-5</v>
      </c>
      <c r="D22">
        <f>'AZ6 RZ1'!C22-'AZ10 RZ4'!C22</f>
        <v>-8.7899999999999616E-8</v>
      </c>
      <c r="E22" s="5">
        <f t="shared" si="0"/>
        <v>-4.3290256491075813E-3</v>
      </c>
    </row>
    <row r="23" spans="2:5" x14ac:dyDescent="0.25">
      <c r="B23" s="3">
        <v>42095</v>
      </c>
      <c r="C23" s="4">
        <v>9.5682999999999999E-5</v>
      </c>
      <c r="D23">
        <f>'AZ6 RZ1'!C23-'AZ10 RZ4'!C23</f>
        <v>-1.0084199999999994E-5</v>
      </c>
      <c r="E23" s="5">
        <f t="shared" si="0"/>
        <v>-0.10539176238203228</v>
      </c>
    </row>
    <row r="24" spans="2:5" x14ac:dyDescent="0.25">
      <c r="B24" s="3">
        <v>42097</v>
      </c>
      <c r="C24" s="4">
        <v>1.12025E-4</v>
      </c>
      <c r="D24">
        <f>'AZ6 RZ1'!C24-'AZ10 RZ4'!C24</f>
        <v>-3.4120000000000005E-6</v>
      </c>
      <c r="E24" s="5">
        <f t="shared" si="0"/>
        <v>-3.0457487168042852E-2</v>
      </c>
    </row>
    <row r="25" spans="2:5" x14ac:dyDescent="0.25">
      <c r="B25" s="3">
        <v>42098</v>
      </c>
      <c r="C25" s="4">
        <v>1.49579E-4</v>
      </c>
      <c r="D25">
        <f>'AZ6 RZ1'!C25-'AZ10 RZ4'!C25</f>
        <v>-4.1929999999999919E-6</v>
      </c>
      <c r="E25" s="5">
        <f t="shared" si="0"/>
        <v>-2.8032009840953557E-2</v>
      </c>
    </row>
    <row r="26" spans="2:5" x14ac:dyDescent="0.25">
      <c r="B26" s="3">
        <v>42100</v>
      </c>
      <c r="C26" s="4">
        <v>1.6564100000000001E-4</v>
      </c>
      <c r="D26">
        <f>'AZ6 RZ1'!C26-'AZ10 RZ4'!C26</f>
        <v>-4.6719999999999986E-6</v>
      </c>
      <c r="E26" s="5">
        <f t="shared" si="0"/>
        <v>-2.8205577121606356E-2</v>
      </c>
    </row>
    <row r="27" spans="2:5" x14ac:dyDescent="0.25">
      <c r="B27" s="3">
        <v>43099</v>
      </c>
      <c r="C27" s="4">
        <v>1.4192799999999999E-4</v>
      </c>
      <c r="D27">
        <f>'AZ6 RZ1'!C27-'AZ10 RZ4'!C27</f>
        <v>-6.1899999999999933E-6</v>
      </c>
      <c r="E27" s="5">
        <f t="shared" si="0"/>
        <v>-4.3613663265881251E-2</v>
      </c>
    </row>
    <row r="28" spans="2:5" x14ac:dyDescent="0.25">
      <c r="B28" s="3">
        <v>44100</v>
      </c>
      <c r="C28" s="4">
        <v>1.5998499999999999E-5</v>
      </c>
      <c r="D28">
        <f>'AZ6 RZ1'!C28-'AZ10 RZ4'!C28</f>
        <v>3.4210000000000135E-7</v>
      </c>
      <c r="E28" s="5">
        <f t="shared" si="0"/>
        <v>2.1383254680126348E-2</v>
      </c>
    </row>
    <row r="29" spans="2:5" x14ac:dyDescent="0.25">
      <c r="B29" s="3">
        <v>44101</v>
      </c>
      <c r="C29" s="4">
        <v>1.3454299999999999E-4</v>
      </c>
      <c r="D29">
        <f>'AZ6 RZ1'!C29-'AZ10 RZ4'!C29</f>
        <v>-4.0949999999999938E-6</v>
      </c>
      <c r="E29" s="5">
        <f t="shared" si="0"/>
        <v>-3.0436366068840402E-2</v>
      </c>
    </row>
    <row r="30" spans="2:5" x14ac:dyDescent="0.25">
      <c r="B30" s="3">
        <v>44102</v>
      </c>
      <c r="C30" s="4">
        <v>1.27835E-4</v>
      </c>
      <c r="D30">
        <f>'AZ6 RZ1'!C30-'AZ10 RZ4'!C30</f>
        <v>-3.3110000000000095E-6</v>
      </c>
      <c r="E30" s="5">
        <f t="shared" si="0"/>
        <v>-2.5900574959909332E-2</v>
      </c>
    </row>
    <row r="31" spans="2:5" x14ac:dyDescent="0.25">
      <c r="B31" s="3">
        <v>44103</v>
      </c>
      <c r="C31" s="4">
        <v>1.6367499999999999E-5</v>
      </c>
      <c r="D31">
        <f>'AZ6 RZ1'!C31-'AZ10 RZ4'!C31</f>
        <v>4.1129000000000026E-6</v>
      </c>
      <c r="E31" s="5">
        <f t="shared" si="0"/>
        <v>0.25128455781273884</v>
      </c>
    </row>
    <row r="32" spans="2:5" x14ac:dyDescent="0.25">
      <c r="B32" s="3">
        <v>44104</v>
      </c>
      <c r="C32" s="4">
        <v>7.4890100000000003E-5</v>
      </c>
      <c r="D32">
        <f>'AZ6 RZ1'!C32-'AZ10 RZ4'!C32</f>
        <v>-2.0993000000000021E-6</v>
      </c>
      <c r="E32" s="5">
        <f t="shared" si="0"/>
        <v>-2.8031742513362941E-2</v>
      </c>
    </row>
    <row r="33" spans="2:5" x14ac:dyDescent="0.25">
      <c r="B33" s="3">
        <v>44106</v>
      </c>
      <c r="C33" s="4">
        <v>2.6112500000000001E-5</v>
      </c>
      <c r="D33">
        <f>'AZ6 RZ1'!C33-'AZ10 RZ4'!C33</f>
        <v>1.6049999999999956E-7</v>
      </c>
      <c r="E33" s="5">
        <f t="shared" si="0"/>
        <v>6.1464815701292317E-3</v>
      </c>
    </row>
    <row r="34" spans="2:5" x14ac:dyDescent="0.25">
      <c r="B34" s="3">
        <v>45103</v>
      </c>
      <c r="C34" s="4">
        <v>6.1892599999999998E-5</v>
      </c>
      <c r="D34">
        <f>'AZ6 RZ1'!C34-'AZ10 RZ4'!C34</f>
        <v>-6.9270999999999967E-6</v>
      </c>
      <c r="E34" s="5">
        <f t="shared" si="0"/>
        <v>-0.11192129592229115</v>
      </c>
    </row>
    <row r="35" spans="2:5" x14ac:dyDescent="0.25">
      <c r="B35" s="3">
        <v>45105</v>
      </c>
      <c r="C35" s="4">
        <v>2.08992E-7</v>
      </c>
      <c r="D35">
        <f>'AZ6 RZ1'!C35-'AZ10 RZ4'!C35</f>
        <v>2.21976E-7</v>
      </c>
      <c r="E35" s="5">
        <f t="shared" si="0"/>
        <v>1.0621267799724392</v>
      </c>
    </row>
    <row r="36" spans="2:5" x14ac:dyDescent="0.25">
      <c r="B36" s="3">
        <v>46105</v>
      </c>
      <c r="C36" s="4">
        <v>4.3220599999999997E-5</v>
      </c>
      <c r="D36">
        <f>'AZ6 RZ1'!C36-'AZ10 RZ4'!C36</f>
        <v>-1.9673999999999975E-6</v>
      </c>
      <c r="E36" s="5">
        <f t="shared" si="0"/>
        <v>-4.5519960389258769E-2</v>
      </c>
    </row>
    <row r="37" spans="2:5" x14ac:dyDescent="0.25">
      <c r="B37" s="3">
        <v>46106</v>
      </c>
      <c r="C37" s="4">
        <v>1.8718800000000001E-5</v>
      </c>
      <c r="D37">
        <f>'AZ6 RZ1'!C37-'AZ10 RZ4'!C37</f>
        <v>-9.5550000000000127E-7</v>
      </c>
      <c r="E37" s="5">
        <f t="shared" si="0"/>
        <v>-5.1044938778126867E-2</v>
      </c>
    </row>
    <row r="38" spans="2:5" x14ac:dyDescent="0.25">
      <c r="B38" s="3">
        <v>46107</v>
      </c>
      <c r="C38" s="4">
        <v>2.3111700000000001E-5</v>
      </c>
      <c r="D38">
        <f>'AZ6 RZ1'!C38-'AZ10 RZ4'!C38</f>
        <v>-7.1780000000000184E-7</v>
      </c>
      <c r="E38" s="5">
        <f t="shared" si="0"/>
        <v>-3.1057862467927577E-2</v>
      </c>
    </row>
    <row r="39" spans="2:5" x14ac:dyDescent="0.25">
      <c r="B39" s="3">
        <v>46108</v>
      </c>
      <c r="C39" s="4">
        <v>1.50015E-5</v>
      </c>
      <c r="D39">
        <f>'AZ6 RZ1'!C39-'AZ10 RZ4'!C39</f>
        <v>-4.5750000000000028E-7</v>
      </c>
      <c r="E39" s="5">
        <f t="shared" si="0"/>
        <v>-3.049695030496952E-2</v>
      </c>
    </row>
    <row r="40" spans="2:5" x14ac:dyDescent="0.25">
      <c r="B40" s="3">
        <v>47109</v>
      </c>
      <c r="C40" s="4">
        <v>8.2038700000000008E-6</v>
      </c>
      <c r="D40">
        <f>'AZ6 RZ1'!C40-'AZ10 RZ4'!C40</f>
        <v>-3.6470000000000008E-7</v>
      </c>
      <c r="E40" s="5">
        <f t="shared" si="0"/>
        <v>-4.4454629339567793E-2</v>
      </c>
    </row>
    <row r="41" spans="2:5" x14ac:dyDescent="0.25">
      <c r="B41" s="3">
        <v>52130</v>
      </c>
      <c r="C41" s="4">
        <v>4.9417499999999999E-5</v>
      </c>
      <c r="D41">
        <f>'AZ6 RZ1'!C41-'AZ10 RZ4'!C41</f>
        <v>-1.3894999999999975E-6</v>
      </c>
      <c r="E41" s="5">
        <f t="shared" si="0"/>
        <v>-2.8117569686851772E-2</v>
      </c>
    </row>
    <row r="42" spans="2:5" x14ac:dyDescent="0.25">
      <c r="B42" s="3">
        <v>53129</v>
      </c>
      <c r="C42" s="4">
        <v>1.79254E-5</v>
      </c>
      <c r="D42">
        <f>'AZ6 RZ1'!C42-'AZ10 RZ4'!C42</f>
        <v>-5.0580000000000115E-7</v>
      </c>
      <c r="E42" s="5">
        <f t="shared" si="0"/>
        <v>-2.8216943554955604E-2</v>
      </c>
    </row>
    <row r="43" spans="2:5" x14ac:dyDescent="0.25">
      <c r="B43" s="3">
        <v>54131</v>
      </c>
      <c r="C43" s="4">
        <v>5.8218799999999999E-5</v>
      </c>
      <c r="D43">
        <f>'AZ6 RZ1'!C43-'AZ10 RZ4'!C43</f>
        <v>-4.2626000000000022E-6</v>
      </c>
      <c r="E43" s="5">
        <f t="shared" si="0"/>
        <v>-7.3216899008567718E-2</v>
      </c>
    </row>
    <row r="44" spans="2:5" x14ac:dyDescent="0.25">
      <c r="B44" s="3">
        <v>54132</v>
      </c>
      <c r="C44" s="4">
        <v>1.3573400000000001E-4</v>
      </c>
      <c r="D44">
        <f>'AZ6 RZ1'!C44-'AZ10 RZ4'!C44</f>
        <v>-4.1850000000000014E-6</v>
      </c>
      <c r="E44" s="5">
        <f t="shared" si="0"/>
        <v>-3.0832363298805024E-2</v>
      </c>
    </row>
    <row r="45" spans="2:5" x14ac:dyDescent="0.25">
      <c r="B45" s="3">
        <v>54133</v>
      </c>
      <c r="C45" s="4">
        <v>2.60067E-6</v>
      </c>
      <c r="D45">
        <f>'AZ6 RZ1'!C45-'AZ10 RZ4'!C45</f>
        <v>2.5992700000000003E-6</v>
      </c>
      <c r="E45" s="5">
        <f t="shared" si="0"/>
        <v>0.99946167718318757</v>
      </c>
    </row>
    <row r="46" spans="2:5" x14ac:dyDescent="0.25">
      <c r="B46" s="3">
        <v>54134</v>
      </c>
      <c r="C46" s="4">
        <v>2.0462900000000001E-4</v>
      </c>
      <c r="D46">
        <f>'AZ6 RZ1'!C46-'AZ10 RZ4'!C46</f>
        <v>-5.7710000000000096E-6</v>
      </c>
      <c r="E46" s="5">
        <f t="shared" si="0"/>
        <v>-2.8202258721882086E-2</v>
      </c>
    </row>
    <row r="47" spans="2:5" x14ac:dyDescent="0.25">
      <c r="B47" s="3">
        <v>54135</v>
      </c>
      <c r="C47" s="4">
        <v>3.7156200000000003E-8</v>
      </c>
      <c r="D47">
        <f>'AZ6 RZ1'!C47-'AZ10 RZ4'!C47</f>
        <v>1.5769999999999995E-8</v>
      </c>
      <c r="E47" s="5">
        <f t="shared" si="0"/>
        <v>0.42442445675284324</v>
      </c>
    </row>
    <row r="48" spans="2:5" x14ac:dyDescent="0.25">
      <c r="B48" s="3">
        <v>54136</v>
      </c>
      <c r="C48" s="4">
        <v>3.1617E-4</v>
      </c>
      <c r="D48">
        <f>'AZ6 RZ1'!C48-'AZ10 RZ4'!C48</f>
        <v>-8.3330000000000166E-6</v>
      </c>
      <c r="E48" s="5">
        <f t="shared" si="0"/>
        <v>-2.6356074263845453E-2</v>
      </c>
    </row>
    <row r="49" spans="2:5" x14ac:dyDescent="0.25">
      <c r="B49" s="3">
        <v>55133</v>
      </c>
      <c r="C49" s="4">
        <v>1.5120699999999999E-4</v>
      </c>
      <c r="D49">
        <f>'AZ6 RZ1'!C49-'AZ10 RZ4'!C49</f>
        <v>-8.4139999999999909E-6</v>
      </c>
      <c r="E49" s="5">
        <f t="shared" si="0"/>
        <v>-5.5645571964260857E-2</v>
      </c>
    </row>
    <row r="50" spans="2:5" x14ac:dyDescent="0.25">
      <c r="B50" s="3">
        <v>55134</v>
      </c>
      <c r="C50" s="4">
        <v>1.6449200000000002E-5</v>
      </c>
      <c r="D50">
        <f>'AZ6 RZ1'!C50-'AZ10 RZ4'!C50</f>
        <v>8.1939999999999761E-7</v>
      </c>
      <c r="E50" s="5">
        <f t="shared" si="0"/>
        <v>4.9813972715998196E-2</v>
      </c>
    </row>
    <row r="51" spans="2:5" x14ac:dyDescent="0.25">
      <c r="B51" s="3">
        <v>55135</v>
      </c>
      <c r="C51" s="4">
        <v>2.9060700000000001E-5</v>
      </c>
      <c r="D51">
        <f>'AZ6 RZ1'!C51-'AZ10 RZ4'!C51</f>
        <v>-1.5919000000000008E-6</v>
      </c>
      <c r="E51" s="5">
        <f t="shared" si="0"/>
        <v>-5.4778446493030132E-2</v>
      </c>
    </row>
    <row r="52" spans="2:5" x14ac:dyDescent="0.25">
      <c r="B52" s="3">
        <v>55137</v>
      </c>
      <c r="C52" s="4">
        <v>1.6122099999999999E-4</v>
      </c>
      <c r="D52">
        <f>'AZ6 RZ1'!C52-'AZ10 RZ4'!C52</f>
        <v>-4.3559999999999834E-6</v>
      </c>
      <c r="E52" s="5">
        <f t="shared" si="0"/>
        <v>-2.7018812685692208E-2</v>
      </c>
    </row>
    <row r="53" spans="2:5" x14ac:dyDescent="0.25">
      <c r="B53" s="3">
        <v>56138</v>
      </c>
      <c r="C53" s="4">
        <v>1.7249999999999999E-4</v>
      </c>
      <c r="D53">
        <f>'AZ6 RZ1'!C53-'AZ10 RZ4'!C53</f>
        <v>-4.882999999999987E-6</v>
      </c>
      <c r="E53" s="5">
        <f t="shared" si="0"/>
        <v>-2.8307246376811521E-2</v>
      </c>
    </row>
    <row r="54" spans="2:5" x14ac:dyDescent="0.25">
      <c r="B54" s="3">
        <v>56140</v>
      </c>
      <c r="C54" s="4">
        <v>6.6934199999999999E-6</v>
      </c>
      <c r="D54">
        <f>'AZ6 RZ1'!C54-'AZ10 RZ4'!C54</f>
        <v>4.3250799999999998E-6</v>
      </c>
      <c r="E54" s="5">
        <f t="shared" si="0"/>
        <v>0.64616892410755633</v>
      </c>
    </row>
    <row r="55" spans="2:5" x14ac:dyDescent="0.25">
      <c r="B55" s="3">
        <v>57139</v>
      </c>
      <c r="C55" s="4">
        <v>1.60934E-4</v>
      </c>
      <c r="D55">
        <f>'AZ6 RZ1'!C55-'AZ10 RZ4'!C55</f>
        <v>-4.5690000000000032E-6</v>
      </c>
      <c r="E55" s="5">
        <f t="shared" si="0"/>
        <v>-2.8390520337529691E-2</v>
      </c>
    </row>
    <row r="56" spans="2:5" x14ac:dyDescent="0.25">
      <c r="B56" s="3">
        <v>58140</v>
      </c>
      <c r="C56" s="4">
        <v>1.50832E-4</v>
      </c>
      <c r="D56">
        <f>'AZ6 RZ1'!C56-'AZ10 RZ4'!C56</f>
        <v>-9.367000000000007E-6</v>
      </c>
      <c r="E56" s="5">
        <f t="shared" si="0"/>
        <v>-6.2102206428344166E-2</v>
      </c>
    </row>
    <row r="57" spans="2:5" x14ac:dyDescent="0.25">
      <c r="B57" s="3">
        <v>58141</v>
      </c>
      <c r="C57" s="4">
        <v>1.8152299999999999E-5</v>
      </c>
      <c r="D57">
        <f>'AZ6 RZ1'!C57-'AZ10 RZ4'!C57</f>
        <v>5.2073000000000001E-6</v>
      </c>
      <c r="E57" s="5">
        <f t="shared" si="0"/>
        <v>0.28686722894619415</v>
      </c>
    </row>
    <row r="58" spans="2:5" x14ac:dyDescent="0.25">
      <c r="B58" s="3">
        <v>58142</v>
      </c>
      <c r="C58" s="4">
        <v>1.48345E-4</v>
      </c>
      <c r="D58">
        <f>'AZ6 RZ1'!C58-'AZ10 RZ4'!C58</f>
        <v>-4.0960000000000096E-6</v>
      </c>
      <c r="E58" s="5">
        <f t="shared" si="0"/>
        <v>-2.7611311469884454E-2</v>
      </c>
    </row>
    <row r="59" spans="2:5" x14ac:dyDescent="0.25">
      <c r="B59" s="3">
        <v>58144</v>
      </c>
      <c r="C59" s="4">
        <v>8.5255500000000004E-5</v>
      </c>
      <c r="D59">
        <f>'AZ6 RZ1'!C59-'AZ10 RZ4'!C59</f>
        <v>1.3724000000000006E-6</v>
      </c>
      <c r="E59" s="5">
        <f t="shared" si="0"/>
        <v>1.6097495176264295E-2</v>
      </c>
    </row>
    <row r="60" spans="2:5" x14ac:dyDescent="0.25">
      <c r="B60" s="3">
        <v>59141</v>
      </c>
      <c r="C60" s="4">
        <v>1.26141E-4</v>
      </c>
      <c r="D60">
        <f>'AZ6 RZ1'!C60-'AZ10 RZ4'!C60</f>
        <v>-9.4429999999999975E-6</v>
      </c>
      <c r="E60" s="5">
        <f t="shared" si="0"/>
        <v>-7.4860671787919844E-2</v>
      </c>
    </row>
    <row r="61" spans="2:5" x14ac:dyDescent="0.25">
      <c r="B61" s="3">
        <v>59143</v>
      </c>
      <c r="C61" s="4">
        <v>6.8078899999999998E-6</v>
      </c>
      <c r="D61">
        <f>'AZ6 RZ1'!C61-'AZ10 RZ4'!C61</f>
        <v>3.8591099999999999E-6</v>
      </c>
      <c r="E61" s="5">
        <f t="shared" si="0"/>
        <v>0.56685845394094203</v>
      </c>
    </row>
    <row r="62" spans="2:5" x14ac:dyDescent="0.25">
      <c r="B62" s="3">
        <v>60143</v>
      </c>
      <c r="C62" s="4">
        <v>1.07815E-4</v>
      </c>
      <c r="D62">
        <f>'AZ6 RZ1'!C62-'AZ10 RZ4'!C62</f>
        <v>-6.8509999999999925E-6</v>
      </c>
      <c r="E62" s="5">
        <f t="shared" si="0"/>
        <v>-6.3544033761535904E-2</v>
      </c>
    </row>
    <row r="63" spans="2:5" x14ac:dyDescent="0.25">
      <c r="B63" s="3">
        <v>60144</v>
      </c>
      <c r="C63" s="4">
        <v>7.8208300000000001E-5</v>
      </c>
      <c r="D63">
        <f>'AZ6 RZ1'!C63-'AZ10 RZ4'!C63</f>
        <v>-6.8095999999999966E-6</v>
      </c>
      <c r="E63" s="5">
        <f t="shared" si="0"/>
        <v>-8.7070042437950912E-2</v>
      </c>
    </row>
    <row r="64" spans="2:5" x14ac:dyDescent="0.25">
      <c r="B64" s="3">
        <v>60145</v>
      </c>
      <c r="C64" s="4">
        <v>8.7615399999999995E-5</v>
      </c>
      <c r="D64">
        <f>'AZ6 RZ1'!C64-'AZ10 RZ4'!C64</f>
        <v>-2.8279999999999939E-6</v>
      </c>
      <c r="E64" s="5">
        <f t="shared" si="0"/>
        <v>-3.2277430679994543E-2</v>
      </c>
    </row>
    <row r="65" spans="1:5" x14ac:dyDescent="0.25">
      <c r="B65" s="3">
        <v>60146</v>
      </c>
      <c r="C65" s="4">
        <v>8.4440100000000005E-5</v>
      </c>
      <c r="D65">
        <f>'AZ6 RZ1'!C65-'AZ10 RZ4'!C65</f>
        <v>-2.1056000000000091E-6</v>
      </c>
      <c r="E65" s="5">
        <f t="shared" si="0"/>
        <v>-2.4936019734699614E-2</v>
      </c>
    </row>
    <row r="66" spans="1:5" x14ac:dyDescent="0.25">
      <c r="B66" s="3">
        <v>60147</v>
      </c>
      <c r="C66" s="4">
        <v>1.98173E-6</v>
      </c>
      <c r="D66">
        <f>'AZ6 RZ1'!C66-'AZ10 RZ4'!C66</f>
        <v>1.3839800000000001E-6</v>
      </c>
      <c r="E66" s="5">
        <f t="shared" si="0"/>
        <v>0.69836960635404421</v>
      </c>
    </row>
    <row r="67" spans="1:5" x14ac:dyDescent="0.25">
      <c r="B67" s="3">
        <v>60148</v>
      </c>
      <c r="C67" s="4">
        <v>4.5303699999999998E-5</v>
      </c>
      <c r="D67">
        <f>'AZ6 RZ1'!C67-'AZ10 RZ4'!C67</f>
        <v>-1.2167999999999982E-6</v>
      </c>
      <c r="E67" s="5">
        <f t="shared" si="0"/>
        <v>-2.6858733392636766E-2</v>
      </c>
    </row>
    <row r="68" spans="1:5" x14ac:dyDescent="0.25">
      <c r="B68" s="3">
        <v>60150</v>
      </c>
      <c r="C68" s="4">
        <v>1.8924E-5</v>
      </c>
      <c r="D68">
        <f>'AZ6 RZ1'!C68-'AZ10 RZ4'!C68</f>
        <v>-5.4160000000000173E-7</v>
      </c>
      <c r="E68" s="5">
        <f t="shared" si="0"/>
        <v>-2.8619742126400428E-2</v>
      </c>
    </row>
    <row r="69" spans="1:5" x14ac:dyDescent="0.25">
      <c r="B69" s="3">
        <v>61147</v>
      </c>
      <c r="C69" s="4">
        <v>2.80711E-5</v>
      </c>
      <c r="D69">
        <f>'AZ6 RZ1'!C69-'AZ10 RZ4'!C69</f>
        <v>-2.7216000000000012E-6</v>
      </c>
      <c r="E69" s="5">
        <f t="shared" ref="E69:E78" si="1">D69/C69</f>
        <v>-9.6953806583995689E-2</v>
      </c>
    </row>
    <row r="70" spans="1:5" x14ac:dyDescent="0.25">
      <c r="B70" s="3">
        <v>61149</v>
      </c>
      <c r="C70" s="4">
        <v>1.6253099999999999E-7</v>
      </c>
      <c r="D70">
        <f>'AZ6 RZ1'!C70-'AZ10 RZ4'!C70</f>
        <v>1.8777700000000003E-7</v>
      </c>
      <c r="E70" s="5">
        <f t="shared" si="1"/>
        <v>1.1553303677452305</v>
      </c>
    </row>
    <row r="71" spans="1:5" x14ac:dyDescent="0.25">
      <c r="B71" s="3">
        <v>62147</v>
      </c>
      <c r="C71" s="4">
        <v>3.6712600000000001E-6</v>
      </c>
      <c r="D71">
        <f>'AZ6 RZ1'!C71-'AZ10 RZ4'!C71</f>
        <v>-5.3097999999999995E-7</v>
      </c>
      <c r="E71" s="5">
        <f t="shared" si="1"/>
        <v>-0.14463154339382117</v>
      </c>
    </row>
    <row r="72" spans="1:5" x14ac:dyDescent="0.25">
      <c r="B72" s="3">
        <v>62149</v>
      </c>
      <c r="C72" s="4">
        <v>2.7394199999999998E-7</v>
      </c>
      <c r="D72">
        <f>'AZ6 RZ1'!C72-'AZ10 RZ4'!C72</f>
        <v>5.0396999999999998E-8</v>
      </c>
      <c r="E72" s="5">
        <f t="shared" si="1"/>
        <v>0.18396959940425348</v>
      </c>
    </row>
    <row r="73" spans="1:5" x14ac:dyDescent="0.25">
      <c r="B73" s="3">
        <v>62150</v>
      </c>
      <c r="C73" s="4">
        <v>2.5290400000000001E-5</v>
      </c>
      <c r="D73">
        <f>'AZ6 RZ1'!C73-'AZ10 RZ4'!C73</f>
        <v>-1.0072999999999997E-6</v>
      </c>
      <c r="E73" s="5">
        <f t="shared" si="1"/>
        <v>-3.9829342359156028E-2</v>
      </c>
    </row>
    <row r="74" spans="1:5" x14ac:dyDescent="0.25">
      <c r="B74" s="3">
        <v>62151</v>
      </c>
      <c r="C74" s="4">
        <v>1.72203E-6</v>
      </c>
      <c r="D74">
        <f>'AZ6 RZ1'!C74-'AZ10 RZ4'!C74</f>
        <v>1.4424000000000008E-7</v>
      </c>
      <c r="E74" s="5">
        <f t="shared" si="1"/>
        <v>8.3761606940645675E-2</v>
      </c>
    </row>
    <row r="75" spans="1:5" x14ac:dyDescent="0.25">
      <c r="B75" s="3">
        <v>62152</v>
      </c>
      <c r="C75" s="4">
        <v>1.17064E-5</v>
      </c>
      <c r="D75">
        <f>'AZ6 RZ1'!C75-'AZ10 RZ4'!C75</f>
        <v>-1.0490999999999998E-6</v>
      </c>
      <c r="E75" s="5">
        <f t="shared" si="1"/>
        <v>-8.9617645048862146E-2</v>
      </c>
    </row>
    <row r="76" spans="1:5" x14ac:dyDescent="0.25">
      <c r="B76" s="3">
        <v>63153</v>
      </c>
      <c r="C76" s="4">
        <v>1.10479E-5</v>
      </c>
      <c r="D76">
        <f>'AZ6 RZ1'!C76-'AZ10 RZ4'!C76</f>
        <v>-2.3099999999999999E-7</v>
      </c>
      <c r="E76" s="5">
        <f t="shared" si="1"/>
        <v>-2.0908951022366243E-2</v>
      </c>
    </row>
    <row r="77" spans="1:5" x14ac:dyDescent="0.25">
      <c r="B77" s="3">
        <v>63154</v>
      </c>
      <c r="C77" s="4">
        <v>1.7178600000000001E-6</v>
      </c>
      <c r="D77">
        <f>'AZ6 RZ1'!C77-'AZ10 RZ4'!C77</f>
        <v>2.1738999999999975E-7</v>
      </c>
      <c r="E77" s="5">
        <f t="shared" si="1"/>
        <v>0.12654698287404081</v>
      </c>
    </row>
    <row r="78" spans="1:5" x14ac:dyDescent="0.25">
      <c r="B78" s="3">
        <v>63155</v>
      </c>
      <c r="C78" s="4">
        <v>6.3865800000000003E-7</v>
      </c>
      <c r="D78">
        <f>'AZ6 RZ1'!C78-'AZ10 RZ4'!C78</f>
        <v>-6.2538000000000027E-8</v>
      </c>
      <c r="E78" s="5">
        <f t="shared" si="1"/>
        <v>-9.7920952998318392E-2</v>
      </c>
    </row>
    <row r="79" spans="1:5" x14ac:dyDescent="0.25">
      <c r="A79" t="s">
        <v>7</v>
      </c>
      <c r="B79" s="3"/>
      <c r="C79" s="4"/>
      <c r="E79" s="5"/>
    </row>
    <row r="80" spans="1:5" x14ac:dyDescent="0.25">
      <c r="B80" s="3">
        <v>92235</v>
      </c>
      <c r="C80" s="4">
        <v>2.1718100000000001E-3</v>
      </c>
      <c r="D80" s="6">
        <f>'AZ6 RZ1'!C80-'AZ10 RZ4'!C80</f>
        <v>6.3699999999999868E-5</v>
      </c>
      <c r="E80" s="5">
        <f>D80/C80</f>
        <v>2.9330374204004892E-2</v>
      </c>
    </row>
    <row r="81" spans="1:5" x14ac:dyDescent="0.25">
      <c r="B81" s="3">
        <v>92236</v>
      </c>
      <c r="C81" s="4">
        <v>4.4196799999999999E-4</v>
      </c>
      <c r="D81" s="6">
        <f>'AZ6 RZ1'!C81-'AZ10 RZ4'!C81</f>
        <v>-8.3840000000000065E-6</v>
      </c>
      <c r="E81" s="5">
        <f t="shared" ref="E81:E92" si="2">D81/C81</f>
        <v>-1.8969699163740375E-2</v>
      </c>
    </row>
    <row r="82" spans="1:5" x14ac:dyDescent="0.25">
      <c r="B82" s="3">
        <v>92237</v>
      </c>
      <c r="C82" s="4">
        <v>1.04429E-6</v>
      </c>
      <c r="D82" s="6">
        <f>'AZ6 RZ1'!C82-'AZ10 RZ4'!C82</f>
        <v>1.8021800000000002E-6</v>
      </c>
      <c r="E82" s="5">
        <f t="shared" si="2"/>
        <v>1.7257466795621907</v>
      </c>
    </row>
    <row r="83" spans="1:5" x14ac:dyDescent="0.25">
      <c r="A83" t="s">
        <v>4</v>
      </c>
      <c r="B83" s="3">
        <v>92238</v>
      </c>
      <c r="C83" s="4">
        <v>1.7961899999999999E-2</v>
      </c>
      <c r="D83" s="6">
        <f>'AZ6 RZ1'!C83-'AZ10 RZ4'!C83</f>
        <v>-2.6399999999999341E-5</v>
      </c>
      <c r="E83" s="5">
        <f t="shared" si="2"/>
        <v>-1.4697776961234248E-3</v>
      </c>
    </row>
    <row r="84" spans="1:5" x14ac:dyDescent="0.25">
      <c r="B84" s="3">
        <v>93237</v>
      </c>
      <c r="C84" s="4">
        <v>3.1179200000000001E-5</v>
      </c>
      <c r="D84" s="6">
        <f>'AZ6 RZ1'!C84-'AZ10 RZ4'!C84</f>
        <v>-3.8670000000000089E-7</v>
      </c>
      <c r="E84" s="5">
        <f t="shared" si="2"/>
        <v>-1.240249910196544E-2</v>
      </c>
    </row>
    <row r="85" spans="1:5" x14ac:dyDescent="0.25">
      <c r="B85" s="3">
        <v>93239</v>
      </c>
      <c r="C85" s="4">
        <v>4.9967599999999999E-6</v>
      </c>
      <c r="D85" s="6">
        <f>'AZ6 RZ1'!C85-'AZ10 RZ4'!C85</f>
        <v>1.2192739999999999E-5</v>
      </c>
      <c r="E85" s="5">
        <f t="shared" si="2"/>
        <v>2.440129203724013</v>
      </c>
    </row>
    <row r="86" spans="1:5" x14ac:dyDescent="0.25">
      <c r="B86" s="3">
        <v>94238</v>
      </c>
      <c r="C86" s="4">
        <v>8.3660900000000004E-6</v>
      </c>
      <c r="D86" s="6">
        <f>'AZ6 RZ1'!C86-'AZ10 RZ4'!C86</f>
        <v>-6.6220000000000867E-8</v>
      </c>
      <c r="E86" s="5">
        <f t="shared" si="2"/>
        <v>-7.9152865914663677E-3</v>
      </c>
    </row>
    <row r="87" spans="1:5" x14ac:dyDescent="0.25">
      <c r="B87" s="3">
        <v>94239</v>
      </c>
      <c r="C87" s="4">
        <v>2.25274E-4</v>
      </c>
      <c r="D87" s="6">
        <f>'AZ6 RZ1'!C87-'AZ10 RZ4'!C87</f>
        <v>3.3272999999999978E-5</v>
      </c>
      <c r="E87" s="5">
        <f t="shared" si="2"/>
        <v>0.14770013405896809</v>
      </c>
    </row>
    <row r="88" spans="1:5" x14ac:dyDescent="0.25">
      <c r="B88" s="3">
        <v>94240</v>
      </c>
      <c r="C88" s="4">
        <v>8.8009000000000004E-5</v>
      </c>
      <c r="D88" s="6">
        <f>'AZ6 RZ1'!C88-'AZ10 RZ4'!C88</f>
        <v>-9.4590000000000055E-6</v>
      </c>
      <c r="E88" s="5">
        <f t="shared" si="2"/>
        <v>-0.10747764433182976</v>
      </c>
    </row>
    <row r="89" spans="1:5" x14ac:dyDescent="0.25">
      <c r="B89" s="3">
        <v>94241</v>
      </c>
      <c r="C89" s="4">
        <v>6.9692999999999998E-5</v>
      </c>
      <c r="D89" s="6">
        <f>'AZ6 RZ1'!C89-'AZ10 RZ4'!C89</f>
        <v>8.3644999999999976E-6</v>
      </c>
      <c r="E89" s="5">
        <f t="shared" si="2"/>
        <v>0.12001922718206991</v>
      </c>
    </row>
    <row r="90" spans="1:5" x14ac:dyDescent="0.25">
      <c r="B90" s="3">
        <v>94242</v>
      </c>
      <c r="C90" s="4">
        <v>3.0365399999999999E-5</v>
      </c>
      <c r="D90" s="6">
        <f>'AZ6 RZ1'!C90-'AZ10 RZ4'!C90</f>
        <v>-1.7438999999999987E-6</v>
      </c>
      <c r="E90" s="5">
        <f t="shared" si="2"/>
        <v>-5.743049655199664E-2</v>
      </c>
    </row>
    <row r="91" spans="1:5" x14ac:dyDescent="0.25">
      <c r="B91" s="3">
        <v>95241</v>
      </c>
      <c r="C91" s="4">
        <v>8.4779500000000003E-7</v>
      </c>
      <c r="D91" s="6">
        <f>'AZ6 RZ1'!C91-'AZ10 RZ4'!C91</f>
        <v>-1.5002200000000002E-7</v>
      </c>
      <c r="E91" s="5">
        <f t="shared" si="2"/>
        <v>-0.17695551400987269</v>
      </c>
    </row>
    <row r="92" spans="1:5" x14ac:dyDescent="0.25">
      <c r="B92" s="3">
        <v>95243</v>
      </c>
      <c r="C92" s="4">
        <v>5.3554800000000001E-6</v>
      </c>
      <c r="D92" s="6">
        <f>'AZ6 RZ1'!C92-'AZ10 RZ4'!C92</f>
        <v>1.8414999999999975E-7</v>
      </c>
      <c r="E92" s="5">
        <f t="shared" si="2"/>
        <v>3.4385339876164184E-2</v>
      </c>
    </row>
    <row r="93" spans="1:5" x14ac:dyDescent="0.25">
      <c r="D93" s="7" t="s">
        <v>8</v>
      </c>
      <c r="E93" s="8">
        <f>AVERAGE(E4:E92)</f>
        <v>9.9473434960361609E-2</v>
      </c>
    </row>
    <row r="94" spans="1:5" x14ac:dyDescent="0.25">
      <c r="D94" s="7" t="s">
        <v>9</v>
      </c>
      <c r="E94" s="9">
        <f>STDEVA(E4:E92)</f>
        <v>0.39330262273567124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AZ6 RZ1</vt:lpstr>
      <vt:lpstr>AZ5 RZ1</vt:lpstr>
      <vt:lpstr>AZ1 RZ1</vt:lpstr>
      <vt:lpstr>AZ1 RZ4 </vt:lpstr>
      <vt:lpstr>AZ6 RZ4 </vt:lpstr>
      <vt:lpstr>AZ10 RZ1</vt:lpstr>
      <vt:lpstr>AZ10 RZ4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Martínez Baroja</dc:creator>
  <cp:lastModifiedBy>Iker Martínez Baroja</cp:lastModifiedBy>
  <dcterms:created xsi:type="dcterms:W3CDTF">2024-12-10T11:37:05Z</dcterms:created>
  <dcterms:modified xsi:type="dcterms:W3CDTF">2024-12-11T09:14:09Z</dcterms:modified>
</cp:coreProperties>
</file>